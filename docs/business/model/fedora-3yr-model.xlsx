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Low" sheetId="3" state="visible" r:id="rId5"/>
    <sheet name="Medium" sheetId="4" state="visible" r:id="rId6"/>
    <sheet name="High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<sst xmlns="http://schemas.openxmlformats.org/spreadsheetml/2006/main" count="240" uniqueCount="164">
  <si>
    <t xml:space="preserve">Fedora — 3-year global-launch outcomes</t>
  </si>
  <si>
    <t xml:space="preserve">10 cities at launch, first hunt free, wave-2 monetisation at month 9. All values recalculate from the Assumptions sheet.</t>
  </si>
  <si>
    <t xml:space="preserve">Low</t>
  </si>
  <si>
    <t xml:space="preserve">Medium</t>
  </si>
  <si>
    <t xml:space="preserve">High</t>
  </si>
  <si>
    <t xml:space="preserve">Year 1 revenue (£)</t>
  </si>
  <si>
    <t xml:space="preserve">Year 2 revenue (£)</t>
  </si>
  <si>
    <t xml:space="preserve">Year 3 revenue (£)</t>
  </si>
  <si>
    <t xml:space="preserve">Year 1 costs (£)</t>
  </si>
  <si>
    <t xml:space="preserve">Year 2 costs (£)</t>
  </si>
  <si>
    <t xml:space="preserve">Year 3 costs (£)</t>
  </si>
  <si>
    <t xml:space="preserve">Year 1 net (£)</t>
  </si>
  <si>
    <t xml:space="preserve">Year 2 net (£)</t>
  </si>
  <si>
    <t xml:space="preserve">Year 3 net (£)</t>
  </si>
  <si>
    <t xml:space="preserve">Cumulative net, 36 months (£)</t>
  </si>
  <si>
    <t xml:space="preserve">Cash trough (£)</t>
  </si>
  <si>
    <t xml:space="preserve">Players reached (app)</t>
  </si>
  <si>
    <t xml:space="preserve">Competitor entry month</t>
  </si>
  <si>
    <t xml:space="preserve">Revenue banked at entry (£)</t>
  </si>
  <si>
    <t xml:space="preserve">Cash position at entry (£)</t>
  </si>
  <si>
    <t xml:space="preserve">Players reached at entry</t>
  </si>
  <si>
    <t xml:space="preserve">Year 3 Direct consumer (£)</t>
  </si>
  <si>
    <t xml:space="preserve">Year 3 OTA (£)</t>
  </si>
  <si>
    <t xml:space="preserve">Year 3 Advertising (£)</t>
  </si>
  <si>
    <t xml:space="preserve">Year 3 Sponsorship (£)</t>
  </si>
  <si>
    <t xml:space="preserve">Year 3 White-label (£)</t>
  </si>
  <si>
    <t xml:space="preserve">Year 3 Corporate (£)</t>
  </si>
  <si>
    <t xml:space="preserve">Fedora — global launch model: assumptions</t>
  </si>
  <si>
    <t xml:space="preserve">All money GBP. Blue = input cells (edit these); yellow = key levers. Sources: docs/business/research/*.md</t>
  </si>
  <si>
    <t xml:space="preserve">STRUCTURE &amp; SHARED</t>
  </si>
  <si>
    <t xml:space="preserve">Cities at launch</t>
  </si>
  <si>
    <t xml:space="preserve">Launch brief: one hunt per big city in 10 cities</t>
  </si>
  <si>
    <t xml:space="preserve">Avg players per team (one purchase covers a team)</t>
  </si>
  <si>
    <t xml:space="preserve">Teams of 3-4; marketing-cac.md §5</t>
  </si>
  <si>
    <t xml:space="preserve">Wave-2 month (paid catalogue + sponsors + ads)</t>
  </si>
  <si>
    <t xml:space="preserve">Launch brief: monetisation at second launch</t>
  </si>
  <si>
    <t xml:space="preserve">Lapsed players active per month (MAU factor)</t>
  </si>
  <si>
    <t xml:space="preserve">Episodic use; D30 retention 3-5%, marketing-cac.md §2</t>
  </si>
  <si>
    <t xml:space="preserve">OTA players new to app (share)</t>
  </si>
  <si>
    <t xml:space="preserve">OTA buyers partly overlap app installs</t>
  </si>
  <si>
    <t xml:space="preserve">Home-city share of catalogue</t>
  </si>
  <si>
    <t xml:space="preserve">1 of 10 launch cities is home; grows slightly</t>
  </si>
  <si>
    <t xml:space="preserve">Wave-2+ build discount vs first remote hunt</t>
  </si>
  <si>
    <t xml:space="preserve">Repeat visits amortise city research</t>
  </si>
  <si>
    <t xml:space="preserve">Hunt build — home city (£)</t>
  </si>
  <si>
    <t xml:space="preserve">Contracted design+field+red-team+QA; competitive-response.md §3</t>
  </si>
  <si>
    <t xml:space="preserve">Hunt build — remote city (£)</t>
  </si>
  <si>
    <t xml:space="preserve">+travel/local contractor (Blue Badge £353/day; trip ~$1,771)</t>
  </si>
  <si>
    <t xml:space="preserve">Maintenance/yr — home hunt (£)</t>
  </si>
  <si>
    <t xml:space="preserve">Quarterly re-verification; world drifts</t>
  </si>
  <si>
    <t xml:space="preserve">Maintenance/yr — remote hunt (£)</t>
  </si>
  <si>
    <t xml:space="preserve">Local contractor passes; Field Agent-style spot checks</t>
  </si>
  <si>
    <t xml:space="preserve">AI red-team compute per hunt (£)</t>
  </si>
  <si>
    <t xml:space="preserve">Frontier-model attack runs pre-ship (methodology step 2)</t>
  </si>
  <si>
    <t xml:space="preserve">Platform/tools per month (£)</t>
  </si>
  <si>
    <t xml:space="preserve">Supabase + hosting + tooling at scale</t>
  </si>
  <si>
    <t xml:space="preserve">Native app build one-off (£)</t>
  </si>
  <si>
    <t xml:space="preserve">Store-presence wrapper + polish; web app already exists</t>
  </si>
  <si>
    <t xml:space="preserve">Fees on direct consumer revenue</t>
  </si>
  <si>
    <t xml:space="preserve">Web Stripe 1.5-2.9% blended with some 15% IAP; marketing-cac.md §4</t>
  </si>
  <si>
    <t xml:space="preserve">OTA commission</t>
  </si>
  <si>
    <t xml:space="preserve">GetYourGuide/Viator take 20-30%; marketing-cac.md §6</t>
  </si>
  <si>
    <t xml:space="preserve">Corporate delivery cost (% of corp revenue)</t>
  </si>
  <si>
    <t xml:space="preserve">Host on the day, props, admin</t>
  </si>
  <si>
    <t xml:space="preserve">White-label delivery cost (% of WL revenue)</t>
  </si>
  <si>
    <t xml:space="preserve">Bespoke build + verification labour</t>
  </si>
  <si>
    <t xml:space="preserve">Repeat-buyer pool monthly churn</t>
  </si>
  <si>
    <t xml:space="preserve">Lapse rate of paying teams</t>
  </si>
  <si>
    <t xml:space="preserve">SCENARIO</t>
  </si>
  <si>
    <t xml:space="preserve">Source / basis</t>
  </si>
  <si>
    <t xml:space="preserve">Blended CPI (£/install)</t>
  </si>
  <si>
    <t xml:space="preserve">Tier-1 cities $1.50-6.00; marketing-cac.md §1</t>
  </si>
  <si>
    <t xml:space="preserve">Organic multiplier Y1</t>
  </si>
  <si>
    <t xml:space="preserve">PR/creators/referral uplift; decays (Randonautica)</t>
  </si>
  <si>
    <t xml:space="preserve">Organic multiplier Y2</t>
  </si>
  <si>
    <t xml:space="preserve">Organic multiplier Y3</t>
  </si>
  <si>
    <t xml:space="preserve">Install → starts free hunt</t>
  </si>
  <si>
    <t xml:space="preserve">D1-retention-like; marketing-cac.md §2</t>
  </si>
  <si>
    <t xml:space="preserve">Backlog engaged-team conversion</t>
  </si>
  <si>
    <t xml:space="preserve">Pre-wave-2 base converting when catalogue lands</t>
  </si>
  <si>
    <t xml:space="preserve">Engaged team → paid conversion</t>
  </si>
  <si>
    <t xml:space="preserve">Freemium 2.1% of installs ≈ 7-10% of activated; team-level</t>
  </si>
  <si>
    <t xml:space="preserve">Repeat purchases/payer/yr</t>
  </si>
  <si>
    <t xml:space="preserve">Capped by catalogue releases per city</t>
  </si>
  <si>
    <t xml:space="preserve">Price per team (£, gross)</t>
  </si>
  <si>
    <t xml:space="preserve">≈£11-14/head; Questo €8-20pp, CityDays £15-25pp</t>
  </si>
  <si>
    <t xml:space="preserve">OTA teams/city/month Y1</t>
  </si>
  <si>
    <t xml:space="preserve">GYG/Viator listings from wave 2</t>
  </si>
  <si>
    <t xml:space="preserve">OTA teams/city/month Y2</t>
  </si>
  <si>
    <t xml:space="preserve">OTA teams/city/month Y3</t>
  </si>
  <si>
    <t xml:space="preserve">Launch burst, months 0-2 (£)</t>
  </si>
  <si>
    <t xml:space="preserve">10-city campaign £250k/£650k/£1.5M yr1; marketing-cac.md §3</t>
  </si>
  <si>
    <t xml:space="preserve">Marketing/month Y1 after burst (£)</t>
  </si>
  <si>
    <t xml:space="preserve">Marketing/month Y2 (£)</t>
  </si>
  <si>
    <t xml:space="preserve">Marketing/month Y3 (£)</t>
  </si>
  <si>
    <t xml:space="preserve">Sponsorship per live city/yr (£)</t>
  </si>
  <si>
    <t xml:space="preserve">£2.5-4k / £8-15k / £30-60k; sponsorship-economics.md</t>
  </si>
  <si>
    <t xml:space="preserve">Cities with sponsors Y1</t>
  </si>
  <si>
    <t xml:space="preserve">Cities with sponsors Y2</t>
  </si>
  <si>
    <t xml:space="preserve">Cities with sponsors Y3</t>
  </si>
  <si>
    <t xml:space="preserve">White-label deals Y1</t>
  </si>
  <si>
    <t xml:space="preserve">Councils/BIDs/museums; Ipswich £22.8k anchor</t>
  </si>
  <si>
    <t xml:space="preserve">White-label deals Y2</t>
  </si>
  <si>
    <t xml:space="preserve">White-label deals Y3</t>
  </si>
  <si>
    <t xml:space="preserve">White-label deal value (£)</t>
  </si>
  <si>
    <t xml:space="preserve">£2.5-5k / £10-25k / £50k+; sponsorship-economics.md §3</t>
  </si>
  <si>
    <t xml:space="preserve">Ads £ per 1,000 MAU/month</t>
  </si>
  <si>
    <t xml:space="preserve">$10-100; episodic use; sponsorship-economics.md §4</t>
  </si>
  <si>
    <t xml:space="preserve">Corporate events/month Y1</t>
  </si>
  <si>
    <t xml:space="preserve">Corporate events/month Y2</t>
  </si>
  <si>
    <t xml:space="preserve">Corporate events/month Y3</t>
  </si>
  <si>
    <t xml:space="preserve">Revenue per corporate event (£)</t>
  </si>
  <si>
    <t xml:space="preserve">ClueGo £55-65pp × 25-40 heads; competitor-pricing.md</t>
  </si>
  <si>
    <t xml:space="preserve">Staff/month Y1 (£, loaded)</t>
  </si>
  <si>
    <t xml:space="preserve">Staff/month Y2 (£)</t>
  </si>
  <si>
    <t xml:space="preserve">Staff/month Y3 (£)</t>
  </si>
  <si>
    <t xml:space="preserve">New paid hunts built Y1</t>
  </si>
  <si>
    <t xml:space="preserve">New paid hunts built Y2</t>
  </si>
  <si>
    <t xml:space="preserve">New paid hunts built Y3</t>
  </si>
  <si>
    <t xml:space="preserve">Catalogue maintained Y1</t>
  </si>
  <si>
    <t xml:space="preserve">Low prunes dead cities</t>
  </si>
  <si>
    <t xml:space="preserve">Catalogue maintained Y2</t>
  </si>
  <si>
    <t xml:space="preserve">Catalogue maintained Y3</t>
  </si>
  <si>
    <t xml:space="preserve">6-18mo after visible traction; competitive-response.md §5</t>
  </si>
  <si>
    <t xml:space="preserve">Post-entry growth dampener</t>
  </si>
  <si>
    <t xml:space="preserve">Escape-room convergence precedent</t>
  </si>
  <si>
    <t xml:space="preserve">Post-entry price factor</t>
  </si>
  <si>
    <t xml:space="preserve">Discount pressure after entry</t>
  </si>
  <si>
    <t xml:space="preserve">Month</t>
  </si>
  <si>
    <t xml:space="preserve">Year</t>
  </si>
  <si>
    <t xml:space="preserve">Post-entry flag</t>
  </si>
  <si>
    <t xml:space="preserve">Growth dampener</t>
  </si>
  <si>
    <t xml:space="preserve">Price per team (£)</t>
  </si>
  <si>
    <t xml:space="preserve">Marketing spend (£)</t>
  </si>
  <si>
    <t xml:space="preserve">Installs</t>
  </si>
  <si>
    <t xml:space="preserve">New active players</t>
  </si>
  <si>
    <t xml:space="preserve">New active teams</t>
  </si>
  <si>
    <t xml:space="preserve">Backlog pool (teams)</t>
  </si>
  <si>
    <t xml:space="preserve">Backlog tranche</t>
  </si>
  <si>
    <t xml:space="preserve">New paying teams</t>
  </si>
  <si>
    <t xml:space="preserve">Repeat rate (monthly)</t>
  </si>
  <si>
    <t xml:space="preserve">Repeat purchases</t>
  </si>
  <si>
    <t xml:space="preserve">Paying-team base</t>
  </si>
  <si>
    <t xml:space="preserve">Paid team purchases</t>
  </si>
  <si>
    <t xml:space="preserve">Direct consumer net (£)</t>
  </si>
  <si>
    <t xml:space="preserve">OTA teams</t>
  </si>
  <si>
    <t xml:space="preserve">OTA net (£)</t>
  </si>
  <si>
    <t xml:space="preserve">Cumulative players</t>
  </si>
  <si>
    <t xml:space="preserve">MAU</t>
  </si>
  <si>
    <t xml:space="preserve">Advertising (£)</t>
  </si>
  <si>
    <t xml:space="preserve">Sponsorship (£)</t>
  </si>
  <si>
    <t xml:space="preserve">White-label (£)</t>
  </si>
  <si>
    <t xml:space="preserve">Corporate revenue (£)</t>
  </si>
  <si>
    <t xml:space="preserve">TOTAL REVENUE (£)</t>
  </si>
  <si>
    <t xml:space="preserve">New hunts built</t>
  </si>
  <si>
    <t xml:space="preserve">Live hunts</t>
  </si>
  <si>
    <t xml:space="preserve">Content build (£)</t>
  </si>
  <si>
    <t xml:space="preserve">Content maintenance (£)</t>
  </si>
  <si>
    <t xml:space="preserve">Staff (£)</t>
  </si>
  <si>
    <t xml:space="preserve">Other costs (£)</t>
  </si>
  <si>
    <t xml:space="preserve">TOTAL COSTS (£)</t>
  </si>
  <si>
    <t xml:space="preserve">NET (£)</t>
  </si>
  <si>
    <t xml:space="preserve">Cumulative net (£)</t>
  </si>
  <si>
    <t xml:space="preserve">Cumulative revenue (£)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</si>
</sst>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£#,##0;&quot;(£&quot;#,##0\);\-"/>
    <numFmt numFmtId="166" formatCode="#,##0"/>
    <numFmt numFmtId="167" formatCode="0.00"/>
    <numFmt numFmtId="168" formatCode="0.0%"/>
    <numFmt numFmtId="169" formatCode="\£#,##0.00;&quot;(£&quot;#,##0.00\);\-"/>
    <numFmt numFmtId="170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 t="s">
        <v>2</v>
      </c>
      <c r="C4" s="4" t="s">
        <v>3</v>
      </c>
      <c r="D4" s="4" t="s">
        <v>4</v>
      </c>
    </row>
    <row r="5" customFormat="false" ht="15" hidden="false" customHeight="false" outlineLevel="0" collapsed="false">
      <c r="A5" s="2" t="s">
        <v>5</v>
      </c>
      <c r="B5" s="5" t="n">
        <f aca="false">SUMIF(Low!$B$2:$AK$2,1,Low!$B$26:$AK$26)</f>
        <v>7305.26859287859</v>
      </c>
      <c r="C5" s="5" t="n">
        <f aca="false">SUMIF(Medium!$B$2:$AK$2,1,Medium!$B$26:$AK$26)</f>
        <v>180877.704642857</v>
      </c>
      <c r="D5" s="5" t="n">
        <f aca="false">SUMIF(High!$B$2:$AK$2,1,High!$B$26:$AK$26)</f>
        <v>1969969.19378307</v>
      </c>
    </row>
    <row r="6" customFormat="false" ht="15" hidden="false" customHeight="false" outlineLevel="0" collapsed="false">
      <c r="A6" s="2" t="s">
        <v>6</v>
      </c>
      <c r="B6" s="5" t="n">
        <f aca="false">SUMIF(Low!$B$2:$AK$2,2,Low!$B$26:$AK$26)</f>
        <v>48115.1665699945</v>
      </c>
      <c r="C6" s="5" t="n">
        <f aca="false">SUMIF(Medium!$B$2:$AK$2,2,Medium!$B$26:$AK$26)</f>
        <v>430259.293927036</v>
      </c>
      <c r="D6" s="5" t="n">
        <f aca="false">SUMIF(High!$B$2:$AK$2,2,High!$B$26:$AK$26)</f>
        <v>3533340.69883046</v>
      </c>
    </row>
    <row r="7" customFormat="false" ht="15" hidden="false" customHeight="false" outlineLevel="0" collapsed="false">
      <c r="A7" s="2" t="s">
        <v>7</v>
      </c>
      <c r="B7" s="5" t="n">
        <f aca="false">SUMIF(Low!$B$2:$AK$2,3,Low!$B$26:$AK$26)</f>
        <v>84540.7435405271</v>
      </c>
      <c r="C7" s="5" t="n">
        <f aca="false">SUMIF(Medium!$B$2:$AK$2,3,Medium!$B$26:$AK$26)</f>
        <v>603545.357128543</v>
      </c>
      <c r="D7" s="5" t="n">
        <f aca="false">SUMIF(High!$B$2:$AK$2,3,High!$B$26:$AK$26)</f>
        <v>3534968.24502073</v>
      </c>
    </row>
    <row r="8" customFormat="false" ht="15" hidden="false" customHeight="false" outlineLevel="0" collapsed="false">
      <c r="A8" s="2" t="s">
        <v>8</v>
      </c>
      <c r="B8" s="5" t="n">
        <f aca="false">SUMIF(Low!$B$2:$AK$2,1,Low!$B$33:$AK$33)</f>
        <v>631392.708333333</v>
      </c>
      <c r="C8" s="5" t="n">
        <f aca="false">SUMIF(Medium!$B$2:$AK$2,1,Medium!$B$33:$AK$33)</f>
        <v>1284385.41666667</v>
      </c>
      <c r="D8" s="5" t="n">
        <f aca="false">SUMIF(High!$B$2:$AK$2,1,High!$B$33:$AK$33)</f>
        <v>2236335.41666667</v>
      </c>
    </row>
    <row r="9" customFormat="false" ht="15" hidden="false" customHeight="false" outlineLevel="0" collapsed="false">
      <c r="A9" s="2" t="s">
        <v>9</v>
      </c>
      <c r="B9" s="5" t="n">
        <f aca="false">SUMIF(Low!$B$2:$AK$2,2,Low!$B$33:$AK$33)</f>
        <v>235992.375</v>
      </c>
      <c r="C9" s="5" t="n">
        <f aca="false">SUMIF(Medium!$B$2:$AK$2,2,Medium!$B$33:$AK$33)</f>
        <v>808738.333333333</v>
      </c>
      <c r="D9" s="5" t="n">
        <f aca="false">SUMIF(High!$B$2:$AK$2,2,High!$B$33:$AK$33)</f>
        <v>1859728.125</v>
      </c>
    </row>
    <row r="10" customFormat="false" ht="15" hidden="false" customHeight="false" outlineLevel="0" collapsed="false">
      <c r="A10" s="2" t="s">
        <v>10</v>
      </c>
      <c r="B10" s="5" t="n">
        <f aca="false">SUMIF(Low!$B$2:$AK$2,3,Low!$B$33:$AK$33)</f>
        <v>243717.8125</v>
      </c>
      <c r="C10" s="5" t="n">
        <f aca="false">SUMIF(Medium!$B$2:$AK$2,3,Medium!$B$33:$AK$33)</f>
        <v>913428.333333333</v>
      </c>
      <c r="D10" s="5" t="n">
        <f aca="false">SUMIF(High!$B$2:$AK$2,3,High!$B$33:$AK$33)</f>
        <v>2594845.83333333</v>
      </c>
    </row>
    <row r="11" customFormat="false" ht="15" hidden="false" customHeight="false" outlineLevel="0" collapsed="false">
      <c r="A11" s="2" t="s">
        <v>11</v>
      </c>
      <c r="B11" s="5" t="n">
        <f aca="false">SUMIF(Low!$B$2:$AK$2,1,Low!$B$34:$AK$34)</f>
        <v>-624087.439740455</v>
      </c>
      <c r="C11" s="5" t="n">
        <f aca="false">SUMIF(Medium!$B$2:$AK$2,1,Medium!$B$34:$AK$34)</f>
        <v>-1103507.71202381</v>
      </c>
      <c r="D11" s="5" t="n">
        <f aca="false">SUMIF(High!$B$2:$AK$2,1,High!$B$34:$AK$34)</f>
        <v>-266366.222883598</v>
      </c>
    </row>
    <row r="12" customFormat="false" ht="15" hidden="false" customHeight="false" outlineLevel="0" collapsed="false">
      <c r="A12" s="2" t="s">
        <v>12</v>
      </c>
      <c r="B12" s="5" t="n">
        <f aca="false">SUMIF(Low!$B$2:$AK$2,2,Low!$B$34:$AK$34)</f>
        <v>-187877.208430006</v>
      </c>
      <c r="C12" s="5" t="n">
        <f aca="false">SUMIF(Medium!$B$2:$AK$2,2,Medium!$B$34:$AK$34)</f>
        <v>-378479.039406297</v>
      </c>
      <c r="D12" s="5" t="n">
        <f aca="false">SUMIF(High!$B$2:$AK$2,2,High!$B$34:$AK$34)</f>
        <v>1673612.57383046</v>
      </c>
    </row>
    <row r="13" customFormat="false" ht="15" hidden="false" customHeight="false" outlineLevel="0" collapsed="false">
      <c r="A13" s="2" t="s">
        <v>13</v>
      </c>
      <c r="B13" s="5" t="n">
        <f aca="false">SUMIF(Low!$B$2:$AK$2,3,Low!$B$34:$AK$34)</f>
        <v>-159177.068959473</v>
      </c>
      <c r="C13" s="5" t="n">
        <f aca="false">SUMIF(Medium!$B$2:$AK$2,3,Medium!$B$34:$AK$34)</f>
        <v>-309882.97620479</v>
      </c>
      <c r="D13" s="5" t="n">
        <f aca="false">SUMIF(High!$B$2:$AK$2,3,High!$B$34:$AK$34)</f>
        <v>940122.411687399</v>
      </c>
    </row>
    <row r="14" customFormat="false" ht="15" hidden="false" customHeight="false" outlineLevel="0" collapsed="false">
      <c r="A14" s="3" t="s">
        <v>14</v>
      </c>
      <c r="B14" s="5" t="n">
        <f aca="false">Low!$AK$35</f>
        <v>-971141.717129933</v>
      </c>
      <c r="C14" s="5" t="n">
        <f aca="false">Medium!$AK$35</f>
        <v>-1791869.7276349</v>
      </c>
      <c r="D14" s="5" t="n">
        <f aca="false">High!$AK$35</f>
        <v>2347368.76263426</v>
      </c>
    </row>
    <row r="15" customFormat="false" ht="15" hidden="false" customHeight="false" outlineLevel="0" collapsed="false">
      <c r="A15" s="3" t="s">
        <v>15</v>
      </c>
      <c r="B15" s="5" t="n">
        <f aca="false">MIN(Low!$B$35:$AK$35)</f>
        <v>-971141.717129933</v>
      </c>
      <c r="C15" s="5" t="n">
        <f aca="false">MIN(Medium!$B$35:$AK$35)</f>
        <v>-1791869.7276349</v>
      </c>
      <c r="D15" s="5" t="n">
        <f aca="false">MIN(High!$B$35:$AK$35)</f>
        <v>-1790840.625</v>
      </c>
    </row>
    <row r="16" customFormat="false" ht="15" hidden="false" customHeight="false" outlineLevel="0" collapsed="false">
      <c r="A16" s="3" t="s">
        <v>16</v>
      </c>
      <c r="B16" s="6" t="n">
        <f aca="false">SUM(Low!$B$8:$AK$8)</f>
        <v>24815.4054054054</v>
      </c>
      <c r="C16" s="6" t="n">
        <f aca="false">SUM(Medium!$B$8:$AK$8)</f>
        <v>212715</v>
      </c>
      <c r="D16" s="6" t="n">
        <f aca="false">SUM(High!$B$8:$AK$8)</f>
        <v>1525462.5</v>
      </c>
    </row>
    <row r="18" customFormat="false" ht="15" hidden="false" customHeight="false" outlineLevel="0" collapsed="false">
      <c r="A18" s="2" t="s">
        <v>17</v>
      </c>
      <c r="B18" s="6" t="n">
        <f aca="false">Assumptions!$B$64</f>
        <v>30</v>
      </c>
      <c r="C18" s="6" t="n">
        <f aca="false">Assumptions!$C$64</f>
        <v>21</v>
      </c>
      <c r="D18" s="6" t="n">
        <f aca="false">Assumptions!$D$64</f>
        <v>15</v>
      </c>
    </row>
    <row r="19" customFormat="false" ht="15" hidden="false" customHeight="false" outlineLevel="0" collapsed="false">
      <c r="A19" s="3" t="s">
        <v>18</v>
      </c>
      <c r="B19" s="5" t="n">
        <f aca="false">INDEX(Low!$B$36:$AK$36,MATCH(Assumptions!$B$64,Low!$B$1:$AK$1,0)-1)</f>
        <v>98524.495023458</v>
      </c>
      <c r="C19" s="5" t="n">
        <f aca="false">INDEX(Medium!$B$36:$AK$36,MATCH(Assumptions!$C$64,Medium!$B$1:$AK$1,0)-1)</f>
        <v>510613.244002179</v>
      </c>
      <c r="D19" s="5" t="n">
        <f aca="false">INDEX(High!$B$36:$AK$36,MATCH(Assumptions!$D$64,High!$B$1:$AK$1,0)-1)</f>
        <v>3004064.4452631</v>
      </c>
    </row>
    <row r="20" customFormat="false" ht="15" hidden="false" customHeight="false" outlineLevel="0" collapsed="false">
      <c r="A20" s="2" t="s">
        <v>19</v>
      </c>
      <c r="B20" s="5" t="n">
        <f aca="false">INDEX(Low!$B$35:$AK$35,MATCH(Assumptions!$B$64,Low!$B$1:$AK$1,0)-1)</f>
        <v>-890287.307059876</v>
      </c>
      <c r="C20" s="5" t="n">
        <f aca="false">INDEX(Medium!$B$35:$AK$35,MATCH(Assumptions!$C$64,Medium!$B$1:$AK$1,0)-1)</f>
        <v>-1378597.17266449</v>
      </c>
      <c r="D20" s="5" t="n">
        <f aca="false">INDEX(High!$B$35:$AK$35,MATCH(Assumptions!$D$64,High!$B$1:$AK$1,0)-1)</f>
        <v>306038.403596437</v>
      </c>
    </row>
    <row r="21" customFormat="false" ht="15" hidden="false" customHeight="false" outlineLevel="0" collapsed="false">
      <c r="A21" s="2" t="s">
        <v>20</v>
      </c>
      <c r="B21" s="6" t="n">
        <f aca="false">INDEX(Low!$B$20:$AK$20,MATCH(Assumptions!$B$64,Low!$B$1:$AK$1,0)-1)</f>
        <v>23835.9459459459</v>
      </c>
      <c r="C21" s="6" t="n">
        <f aca="false">INDEX(Medium!$B$20:$AK$20,MATCH(Assumptions!$C$64,Medium!$B$1:$AK$1,0)-1)</f>
        <v>178650</v>
      </c>
      <c r="D21" s="6" t="n">
        <f aca="false">INDEX(High!$B$20:$AK$20,MATCH(Assumptions!$D$64,High!$B$1:$AK$1,0)-1)</f>
        <v>1182637.5</v>
      </c>
    </row>
    <row r="23" customFormat="false" ht="15" hidden="false" customHeight="false" outlineLevel="0" collapsed="false">
      <c r="A23" s="2" t="s">
        <v>21</v>
      </c>
      <c r="B23" s="5" t="n">
        <f aca="false">SUMIF(Low!$B$2:$AK$2,3,Low!$B$17:$AK$17)</f>
        <v>3311.22507133796</v>
      </c>
      <c r="C23" s="5" t="n">
        <f aca="false">SUMIF(Medium!$B$2:$AK$2,3,Medium!$B$17:$AK$17)</f>
        <v>89650.6371285434</v>
      </c>
      <c r="D23" s="5" t="n">
        <f aca="false">SUMIF(High!$B$2:$AK$2,3,High!$B$17:$AK$17)</f>
        <v>1781306.20502073</v>
      </c>
    </row>
    <row r="24" customFormat="false" ht="15" hidden="false" customHeight="false" outlineLevel="0" collapsed="false">
      <c r="A24" s="2" t="s">
        <v>22</v>
      </c>
      <c r="B24" s="5" t="n">
        <f aca="false">SUMIF(Low!$B$2:$AK$2,3,Low!$B$19:$AK$19)</f>
        <v>13014</v>
      </c>
      <c r="C24" s="5" t="n">
        <f aca="false">SUMIF(Medium!$B$2:$AK$2,3,Medium!$B$19:$AK$19)</f>
        <v>58320</v>
      </c>
      <c r="D24" s="5" t="n">
        <f aca="false">SUMIF(High!$B$2:$AK$2,3,High!$B$19:$AK$19)</f>
        <v>172125</v>
      </c>
    </row>
    <row r="25" customFormat="false" ht="15" hidden="false" customHeight="false" outlineLevel="0" collapsed="false">
      <c r="A25" s="2" t="s">
        <v>23</v>
      </c>
      <c r="B25" s="5" t="n">
        <f aca="false">SUMIF(Low!$B$2:$AK$2,3,Low!$B$22:$AK$22)</f>
        <v>215.518469189189</v>
      </c>
      <c r="C25" s="5" t="n">
        <f aca="false">SUMIF(Medium!$B$2:$AK$2,3,Medium!$B$22:$AK$22)</f>
        <v>5574.72</v>
      </c>
      <c r="D25" s="5" t="n">
        <f aca="false">SUMIF(High!$B$2:$AK$2,3,High!$B$22:$AK$22)</f>
        <v>125537.04</v>
      </c>
    </row>
    <row r="26" customFormat="false" ht="15" hidden="false" customHeight="false" outlineLevel="0" collapsed="false">
      <c r="A26" s="2" t="s">
        <v>24</v>
      </c>
      <c r="B26" s="5" t="n">
        <f aca="false">SUMIF(Low!$B$2:$AK$2,3,Low!$B$23:$AK$23)</f>
        <v>24000</v>
      </c>
      <c r="C26" s="5" t="n">
        <f aca="false">SUMIF(Medium!$B$2:$AK$2,3,Medium!$B$23:$AK$23)</f>
        <v>120000</v>
      </c>
      <c r="D26" s="5" t="n">
        <f aca="false">SUMIF(High!$B$2:$AK$2,3,High!$B$23:$AK$23)</f>
        <v>400000</v>
      </c>
    </row>
    <row r="27" customFormat="false" ht="15" hidden="false" customHeight="false" outlineLevel="0" collapsed="false">
      <c r="A27" s="2" t="s">
        <v>25</v>
      </c>
      <c r="B27" s="5" t="n">
        <f aca="false">SUMIF(Low!$B$2:$AK$2,3,Low!$B$24:$AK$24)</f>
        <v>8000</v>
      </c>
      <c r="C27" s="5" t="n">
        <f aca="false">SUMIF(Medium!$B$2:$AK$2,3,Medium!$B$24:$AK$24)</f>
        <v>90000</v>
      </c>
      <c r="D27" s="5" t="n">
        <f aca="false">SUMIF(High!$B$2:$AK$2,3,High!$B$24:$AK$24)</f>
        <v>480000</v>
      </c>
    </row>
    <row r="28" customFormat="false" ht="15" hidden="false" customHeight="false" outlineLevel="0" collapsed="false">
      <c r="A28" s="2" t="s">
        <v>26</v>
      </c>
      <c r="B28" s="5" t="n">
        <f aca="false">SUMIF(Low!$B$2:$AK$2,3,Low!$B$25:$AK$25)</f>
        <v>36000</v>
      </c>
      <c r="C28" s="5" t="n">
        <f aca="false">SUMIF(Medium!$B$2:$AK$2,3,Medium!$B$25:$AK$25)</f>
        <v>240000</v>
      </c>
      <c r="D28" s="5" t="n">
        <f aca="false">SUMIF(High!$B$2:$AK$2,3,High!$B$25:$AK$25)</f>
        <v>576000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2"/>
    <col collapsed="false" customWidth="true" hidden="false" outlineLevel="0" max="5" min="5" style="0" width="62"/>
  </cols>
  <sheetData>
    <row r="1" customFormat="false" ht="16.1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15" hidden="false" customHeight="false" outlineLevel="0" collapsed="false">
      <c r="A4" s="4" t="s">
        <v>29</v>
      </c>
    </row>
    <row r="5" customFormat="false" ht="15" hidden="false" customHeight="false" outlineLevel="0" collapsed="false">
      <c r="A5" s="2" t="s">
        <v>30</v>
      </c>
      <c r="B5" s="7" t="n">
        <v>10</v>
      </c>
      <c r="E5" s="2" t="s">
        <v>31</v>
      </c>
    </row>
    <row r="6" customFormat="false" ht="15" hidden="false" customHeight="false" outlineLevel="0" collapsed="false">
      <c r="A6" s="2" t="s">
        <v>32</v>
      </c>
      <c r="B6" s="8" t="n">
        <v>3.5</v>
      </c>
      <c r="E6" s="2" t="s">
        <v>33</v>
      </c>
    </row>
    <row r="7" customFormat="false" ht="15" hidden="false" customHeight="false" outlineLevel="0" collapsed="false">
      <c r="A7" s="2" t="s">
        <v>34</v>
      </c>
      <c r="B7" s="7" t="n">
        <v>9</v>
      </c>
      <c r="E7" s="2" t="s">
        <v>35</v>
      </c>
    </row>
    <row r="8" customFormat="false" ht="15" hidden="false" customHeight="false" outlineLevel="0" collapsed="false">
      <c r="A8" s="2" t="s">
        <v>36</v>
      </c>
      <c r="B8" s="9" t="n">
        <v>0.08</v>
      </c>
      <c r="E8" s="2" t="s">
        <v>37</v>
      </c>
    </row>
    <row r="9" customFormat="false" ht="15" hidden="false" customHeight="false" outlineLevel="0" collapsed="false">
      <c r="A9" s="2" t="s">
        <v>38</v>
      </c>
      <c r="B9" s="9" t="n">
        <v>0.5</v>
      </c>
      <c r="E9" s="2" t="s">
        <v>39</v>
      </c>
    </row>
    <row r="10" customFormat="false" ht="15" hidden="false" customHeight="false" outlineLevel="0" collapsed="false">
      <c r="A10" s="2" t="s">
        <v>40</v>
      </c>
      <c r="B10" s="9" t="n">
        <v>0.15</v>
      </c>
      <c r="E10" s="2" t="s">
        <v>41</v>
      </c>
    </row>
    <row r="11" customFormat="false" ht="15" hidden="false" customHeight="false" outlineLevel="0" collapsed="false">
      <c r="A11" s="2" t="s">
        <v>42</v>
      </c>
      <c r="B11" s="9" t="n">
        <v>0.9</v>
      </c>
      <c r="E11" s="2" t="s">
        <v>43</v>
      </c>
    </row>
    <row r="12" customFormat="false" ht="15" hidden="false" customHeight="false" outlineLevel="0" collapsed="false">
      <c r="A12" s="2" t="s">
        <v>44</v>
      </c>
      <c r="B12" s="10" t="n">
        <v>8000</v>
      </c>
      <c r="E12" s="2" t="s">
        <v>45</v>
      </c>
    </row>
    <row r="13" customFormat="false" ht="15" hidden="false" customHeight="false" outlineLevel="0" collapsed="false">
      <c r="A13" s="2" t="s">
        <v>46</v>
      </c>
      <c r="B13" s="10" t="n">
        <v>14000</v>
      </c>
      <c r="E13" s="2" t="s">
        <v>47</v>
      </c>
    </row>
    <row r="14" customFormat="false" ht="15" hidden="false" customHeight="false" outlineLevel="0" collapsed="false">
      <c r="A14" s="2" t="s">
        <v>48</v>
      </c>
      <c r="B14" s="10" t="n">
        <v>1200</v>
      </c>
      <c r="E14" s="2" t="s">
        <v>49</v>
      </c>
    </row>
    <row r="15" customFormat="false" ht="15" hidden="false" customHeight="false" outlineLevel="0" collapsed="false">
      <c r="A15" s="2" t="s">
        <v>50</v>
      </c>
      <c r="B15" s="10" t="n">
        <v>2500</v>
      </c>
      <c r="E15" s="2" t="s">
        <v>51</v>
      </c>
    </row>
    <row r="16" customFormat="false" ht="15" hidden="false" customHeight="false" outlineLevel="0" collapsed="false">
      <c r="A16" s="2" t="s">
        <v>52</v>
      </c>
      <c r="B16" s="10" t="n">
        <v>500</v>
      </c>
      <c r="E16" s="2" t="s">
        <v>53</v>
      </c>
    </row>
    <row r="17" customFormat="false" ht="15" hidden="false" customHeight="false" outlineLevel="0" collapsed="false">
      <c r="A17" s="2" t="s">
        <v>54</v>
      </c>
      <c r="B17" s="10" t="n">
        <v>800</v>
      </c>
      <c r="E17" s="2" t="s">
        <v>55</v>
      </c>
    </row>
    <row r="18" customFormat="false" ht="15" hidden="false" customHeight="false" outlineLevel="0" collapsed="false">
      <c r="A18" s="2" t="s">
        <v>56</v>
      </c>
      <c r="B18" s="10" t="n">
        <v>45000</v>
      </c>
      <c r="E18" s="2" t="s">
        <v>57</v>
      </c>
    </row>
    <row r="19" customFormat="false" ht="15" hidden="false" customHeight="false" outlineLevel="0" collapsed="false">
      <c r="A19" s="2" t="s">
        <v>58</v>
      </c>
      <c r="B19" s="9" t="n">
        <v>0.08</v>
      </c>
      <c r="E19" s="2" t="s">
        <v>59</v>
      </c>
    </row>
    <row r="20" customFormat="false" ht="15" hidden="false" customHeight="false" outlineLevel="0" collapsed="false">
      <c r="A20" s="2" t="s">
        <v>60</v>
      </c>
      <c r="B20" s="9" t="n">
        <v>0.25</v>
      </c>
      <c r="E20" s="2" t="s">
        <v>61</v>
      </c>
    </row>
    <row r="21" customFormat="false" ht="15" hidden="false" customHeight="false" outlineLevel="0" collapsed="false">
      <c r="A21" s="2" t="s">
        <v>62</v>
      </c>
      <c r="B21" s="9" t="n">
        <v>0.35</v>
      </c>
      <c r="E21" s="2" t="s">
        <v>63</v>
      </c>
    </row>
    <row r="22" customFormat="false" ht="15" hidden="false" customHeight="false" outlineLevel="0" collapsed="false">
      <c r="A22" s="2" t="s">
        <v>64</v>
      </c>
      <c r="B22" s="9" t="n">
        <v>0.45</v>
      </c>
      <c r="E22" s="2" t="s">
        <v>65</v>
      </c>
    </row>
    <row r="23" customFormat="false" ht="15" hidden="false" customHeight="false" outlineLevel="0" collapsed="false">
      <c r="A23" s="2" t="s">
        <v>66</v>
      </c>
      <c r="B23" s="9" t="n">
        <v>0.05</v>
      </c>
      <c r="E23" s="2" t="s">
        <v>67</v>
      </c>
    </row>
    <row r="25" customFormat="false" ht="15" hidden="false" customHeight="false" outlineLevel="0" collapsed="false">
      <c r="A25" s="4" t="s">
        <v>68</v>
      </c>
      <c r="B25" s="4" t="s">
        <v>2</v>
      </c>
      <c r="C25" s="4" t="s">
        <v>3</v>
      </c>
      <c r="D25" s="4" t="s">
        <v>4</v>
      </c>
      <c r="E25" s="3" t="s">
        <v>69</v>
      </c>
    </row>
    <row r="26" customFormat="false" ht="15" hidden="false" customHeight="false" outlineLevel="0" collapsed="false">
      <c r="A26" s="2" t="s">
        <v>70</v>
      </c>
      <c r="B26" s="11" t="n">
        <v>3.7</v>
      </c>
      <c r="C26" s="11" t="n">
        <v>2.4</v>
      </c>
      <c r="D26" s="11" t="n">
        <v>1.2</v>
      </c>
      <c r="E26" s="2" t="s">
        <v>71</v>
      </c>
    </row>
    <row r="27" customFormat="false" ht="15" hidden="false" customHeight="false" outlineLevel="0" collapsed="false">
      <c r="A27" s="2" t="s">
        <v>72</v>
      </c>
      <c r="B27" s="8" t="n">
        <v>1.25</v>
      </c>
      <c r="C27" s="8" t="n">
        <v>1.8</v>
      </c>
      <c r="D27" s="8" t="n">
        <v>2.5</v>
      </c>
      <c r="E27" s="2" t="s">
        <v>73</v>
      </c>
    </row>
    <row r="28" customFormat="false" ht="15" hidden="false" customHeight="false" outlineLevel="0" collapsed="false">
      <c r="A28" s="2" t="s">
        <v>74</v>
      </c>
      <c r="B28" s="8" t="n">
        <v>1.2</v>
      </c>
      <c r="C28" s="8" t="n">
        <v>1.6</v>
      </c>
      <c r="D28" s="8" t="n">
        <v>1.8</v>
      </c>
      <c r="E28" s="2"/>
    </row>
    <row r="29" customFormat="false" ht="15" hidden="false" customHeight="false" outlineLevel="0" collapsed="false">
      <c r="A29" s="2" t="s">
        <v>75</v>
      </c>
      <c r="B29" s="8" t="n">
        <v>1.2</v>
      </c>
      <c r="C29" s="8" t="n">
        <v>1.5</v>
      </c>
      <c r="D29" s="8" t="n">
        <v>1.5</v>
      </c>
      <c r="E29" s="2"/>
    </row>
    <row r="30" customFormat="false" ht="15" hidden="false" customHeight="false" outlineLevel="0" collapsed="false">
      <c r="A30" s="2" t="s">
        <v>76</v>
      </c>
      <c r="B30" s="12" t="n">
        <v>0.22</v>
      </c>
      <c r="C30" s="12" t="n">
        <v>0.3</v>
      </c>
      <c r="D30" s="12" t="n">
        <v>0.38</v>
      </c>
      <c r="E30" s="2" t="s">
        <v>77</v>
      </c>
    </row>
    <row r="31" customFormat="false" ht="15" hidden="false" customHeight="false" outlineLevel="0" collapsed="false">
      <c r="A31" s="2" t="s">
        <v>78</v>
      </c>
      <c r="B31" s="9" t="n">
        <v>0.03</v>
      </c>
      <c r="C31" s="9" t="n">
        <v>0.06</v>
      </c>
      <c r="D31" s="9" t="n">
        <v>0.1</v>
      </c>
      <c r="E31" s="2" t="s">
        <v>79</v>
      </c>
    </row>
    <row r="32" customFormat="false" ht="15" hidden="false" customHeight="false" outlineLevel="0" collapsed="false">
      <c r="A32" s="2" t="s">
        <v>80</v>
      </c>
      <c r="B32" s="12" t="n">
        <v>0.05</v>
      </c>
      <c r="C32" s="12" t="n">
        <v>0.1</v>
      </c>
      <c r="D32" s="12" t="n">
        <v>0.18</v>
      </c>
      <c r="E32" s="2" t="s">
        <v>81</v>
      </c>
    </row>
    <row r="33" customFormat="false" ht="15" hidden="false" customHeight="false" outlineLevel="0" collapsed="false">
      <c r="A33" s="2" t="s">
        <v>82</v>
      </c>
      <c r="B33" s="8" t="n">
        <v>0.5</v>
      </c>
      <c r="C33" s="8" t="n">
        <v>1</v>
      </c>
      <c r="D33" s="8" t="n">
        <v>1.5</v>
      </c>
      <c r="E33" s="2" t="s">
        <v>83</v>
      </c>
    </row>
    <row r="34" customFormat="false" ht="15" hidden="false" customHeight="false" outlineLevel="0" collapsed="false">
      <c r="A34" s="2" t="s">
        <v>84</v>
      </c>
      <c r="B34" s="13" t="n">
        <v>40</v>
      </c>
      <c r="C34" s="13" t="n">
        <v>45</v>
      </c>
      <c r="D34" s="13" t="n">
        <v>50</v>
      </c>
      <c r="E34" s="2" t="s">
        <v>85</v>
      </c>
    </row>
    <row r="35" customFormat="false" ht="15" hidden="false" customHeight="false" outlineLevel="0" collapsed="false">
      <c r="A35" s="2" t="s">
        <v>86</v>
      </c>
      <c r="B35" s="7" t="n">
        <v>0</v>
      </c>
      <c r="C35" s="7" t="n">
        <v>0</v>
      </c>
      <c r="D35" s="7" t="n">
        <v>0</v>
      </c>
      <c r="E35" s="2" t="s">
        <v>87</v>
      </c>
    </row>
    <row r="36" customFormat="false" ht="15" hidden="false" customHeight="false" outlineLevel="0" collapsed="false">
      <c r="A36" s="2" t="s">
        <v>88</v>
      </c>
      <c r="B36" s="7" t="n">
        <v>2</v>
      </c>
      <c r="C36" s="7" t="n">
        <v>10</v>
      </c>
      <c r="D36" s="7" t="n">
        <v>25</v>
      </c>
      <c r="E36" s="2"/>
    </row>
    <row r="37" customFormat="false" ht="15" hidden="false" customHeight="false" outlineLevel="0" collapsed="false">
      <c r="A37" s="2" t="s">
        <v>89</v>
      </c>
      <c r="B37" s="7" t="n">
        <v>4</v>
      </c>
      <c r="C37" s="7" t="n">
        <v>20</v>
      </c>
      <c r="D37" s="7" t="n">
        <v>60</v>
      </c>
      <c r="E37" s="2"/>
    </row>
    <row r="38" customFormat="false" ht="15" hidden="false" customHeight="false" outlineLevel="0" collapsed="false">
      <c r="A38" s="2" t="s">
        <v>90</v>
      </c>
      <c r="B38" s="13" t="n">
        <v>160000</v>
      </c>
      <c r="C38" s="13" t="n">
        <v>400000</v>
      </c>
      <c r="D38" s="13" t="n">
        <v>900000</v>
      </c>
      <c r="E38" s="2" t="s">
        <v>91</v>
      </c>
    </row>
    <row r="39" customFormat="false" ht="15" hidden="false" customHeight="false" outlineLevel="0" collapsed="false">
      <c r="A39" s="2" t="s">
        <v>92</v>
      </c>
      <c r="B39" s="10" t="n">
        <v>7000</v>
      </c>
      <c r="C39" s="10" t="n">
        <v>27000</v>
      </c>
      <c r="D39" s="10" t="n">
        <v>55000</v>
      </c>
      <c r="E39" s="2"/>
    </row>
    <row r="40" customFormat="false" ht="15" hidden="false" customHeight="false" outlineLevel="0" collapsed="false">
      <c r="A40" s="2" t="s">
        <v>93</v>
      </c>
      <c r="B40" s="10" t="n">
        <v>5000</v>
      </c>
      <c r="C40" s="10" t="n">
        <v>18000</v>
      </c>
      <c r="D40" s="10" t="n">
        <v>45000</v>
      </c>
      <c r="E40" s="2"/>
    </row>
    <row r="41" customFormat="false" ht="15" hidden="false" customHeight="false" outlineLevel="0" collapsed="false">
      <c r="A41" s="2" t="s">
        <v>94</v>
      </c>
      <c r="B41" s="10" t="n">
        <v>5000</v>
      </c>
      <c r="C41" s="10" t="n">
        <v>15000</v>
      </c>
      <c r="D41" s="10" t="n">
        <v>40000</v>
      </c>
      <c r="E41" s="2"/>
    </row>
    <row r="42" customFormat="false" ht="15" hidden="false" customHeight="false" outlineLevel="0" collapsed="false">
      <c r="A42" s="2" t="s">
        <v>95</v>
      </c>
      <c r="B42" s="13" t="n">
        <v>3000</v>
      </c>
      <c r="C42" s="13" t="n">
        <v>12000</v>
      </c>
      <c r="D42" s="13" t="n">
        <v>40000</v>
      </c>
      <c r="E42" s="2" t="s">
        <v>96</v>
      </c>
    </row>
    <row r="43" customFormat="false" ht="15" hidden="false" customHeight="false" outlineLevel="0" collapsed="false">
      <c r="A43" s="2" t="s">
        <v>97</v>
      </c>
      <c r="B43" s="7" t="n">
        <v>2</v>
      </c>
      <c r="C43" s="7" t="n">
        <v>5</v>
      </c>
      <c r="D43" s="7" t="n">
        <v>8</v>
      </c>
      <c r="E43" s="2"/>
    </row>
    <row r="44" customFormat="false" ht="15" hidden="false" customHeight="false" outlineLevel="0" collapsed="false">
      <c r="A44" s="2" t="s">
        <v>98</v>
      </c>
      <c r="B44" s="7" t="n">
        <v>5</v>
      </c>
      <c r="C44" s="7" t="n">
        <v>8</v>
      </c>
      <c r="D44" s="7" t="n">
        <v>10</v>
      </c>
      <c r="E44" s="2"/>
    </row>
    <row r="45" customFormat="false" ht="15" hidden="false" customHeight="false" outlineLevel="0" collapsed="false">
      <c r="A45" s="2" t="s">
        <v>99</v>
      </c>
      <c r="B45" s="7" t="n">
        <v>8</v>
      </c>
      <c r="C45" s="7" t="n">
        <v>10</v>
      </c>
      <c r="D45" s="7" t="n">
        <v>10</v>
      </c>
      <c r="E45" s="2"/>
    </row>
    <row r="46" customFormat="false" ht="15" hidden="false" customHeight="false" outlineLevel="0" collapsed="false">
      <c r="A46" s="2" t="s">
        <v>100</v>
      </c>
      <c r="B46" s="7" t="n">
        <v>0</v>
      </c>
      <c r="C46" s="7" t="n">
        <v>1</v>
      </c>
      <c r="D46" s="7" t="n">
        <v>2</v>
      </c>
      <c r="E46" s="2" t="s">
        <v>101</v>
      </c>
    </row>
    <row r="47" customFormat="false" ht="15" hidden="false" customHeight="false" outlineLevel="0" collapsed="false">
      <c r="A47" s="2" t="s">
        <v>102</v>
      </c>
      <c r="B47" s="7" t="n">
        <v>1</v>
      </c>
      <c r="C47" s="7" t="n">
        <v>3</v>
      </c>
      <c r="D47" s="7" t="n">
        <v>6</v>
      </c>
      <c r="E47" s="2"/>
    </row>
    <row r="48" customFormat="false" ht="15" hidden="false" customHeight="false" outlineLevel="0" collapsed="false">
      <c r="A48" s="2" t="s">
        <v>103</v>
      </c>
      <c r="B48" s="7" t="n">
        <v>2</v>
      </c>
      <c r="C48" s="7" t="n">
        <v>6</v>
      </c>
      <c r="D48" s="7" t="n">
        <v>12</v>
      </c>
      <c r="E48" s="2"/>
    </row>
    <row r="49" customFormat="false" ht="15" hidden="false" customHeight="false" outlineLevel="0" collapsed="false">
      <c r="A49" s="2" t="s">
        <v>104</v>
      </c>
      <c r="B49" s="10" t="n">
        <v>4000</v>
      </c>
      <c r="C49" s="10" t="n">
        <v>15000</v>
      </c>
      <c r="D49" s="10" t="n">
        <v>40000</v>
      </c>
      <c r="E49" s="2" t="s">
        <v>105</v>
      </c>
    </row>
    <row r="50" customFormat="false" ht="15" hidden="false" customHeight="false" outlineLevel="0" collapsed="false">
      <c r="A50" s="2" t="s">
        <v>106</v>
      </c>
      <c r="B50" s="10" t="n">
        <v>8</v>
      </c>
      <c r="C50" s="10" t="n">
        <v>25</v>
      </c>
      <c r="D50" s="10" t="n">
        <v>80</v>
      </c>
      <c r="E50" s="2" t="s">
        <v>107</v>
      </c>
    </row>
    <row r="51" customFormat="false" ht="15" hidden="false" customHeight="false" outlineLevel="0" collapsed="false">
      <c r="A51" s="2" t="s">
        <v>108</v>
      </c>
      <c r="B51" s="8" t="n">
        <v>0</v>
      </c>
      <c r="C51" s="8" t="n">
        <v>1</v>
      </c>
      <c r="D51" s="8" t="n">
        <v>2</v>
      </c>
      <c r="E51" s="2"/>
    </row>
    <row r="52" customFormat="false" ht="15" hidden="false" customHeight="false" outlineLevel="0" collapsed="false">
      <c r="A52" s="2" t="s">
        <v>109</v>
      </c>
      <c r="B52" s="8" t="n">
        <v>1</v>
      </c>
      <c r="C52" s="8" t="n">
        <v>4</v>
      </c>
      <c r="D52" s="8" t="n">
        <v>8</v>
      </c>
      <c r="E52" s="2"/>
    </row>
    <row r="53" customFormat="false" ht="15" hidden="false" customHeight="false" outlineLevel="0" collapsed="false">
      <c r="A53" s="2" t="s">
        <v>110</v>
      </c>
      <c r="B53" s="8" t="n">
        <v>2</v>
      </c>
      <c r="C53" s="8" t="n">
        <v>8</v>
      </c>
      <c r="D53" s="8" t="n">
        <v>16</v>
      </c>
      <c r="E53" s="2"/>
    </row>
    <row r="54" customFormat="false" ht="15" hidden="false" customHeight="false" outlineLevel="0" collapsed="false">
      <c r="A54" s="2" t="s">
        <v>111</v>
      </c>
      <c r="B54" s="13" t="n">
        <v>1500</v>
      </c>
      <c r="C54" s="13" t="n">
        <v>2500</v>
      </c>
      <c r="D54" s="13" t="n">
        <v>3000</v>
      </c>
      <c r="E54" s="2" t="s">
        <v>112</v>
      </c>
    </row>
    <row r="55" customFormat="false" ht="15" hidden="false" customHeight="false" outlineLevel="0" collapsed="false">
      <c r="A55" s="2" t="s">
        <v>113</v>
      </c>
      <c r="B55" s="10" t="n">
        <v>10000</v>
      </c>
      <c r="C55" s="10" t="n">
        <v>22000</v>
      </c>
      <c r="D55" s="10" t="n">
        <v>35000</v>
      </c>
      <c r="E55" s="2"/>
    </row>
    <row r="56" customFormat="false" ht="15" hidden="false" customHeight="false" outlineLevel="0" collapsed="false">
      <c r="A56" s="2" t="s">
        <v>114</v>
      </c>
      <c r="B56" s="10" t="n">
        <v>8000</v>
      </c>
      <c r="C56" s="10" t="n">
        <v>30000</v>
      </c>
      <c r="D56" s="10" t="n">
        <v>70000</v>
      </c>
      <c r="E56" s="2"/>
    </row>
    <row r="57" customFormat="false" ht="15" hidden="false" customHeight="false" outlineLevel="0" collapsed="false">
      <c r="A57" s="2" t="s">
        <v>115</v>
      </c>
      <c r="B57" s="10" t="n">
        <v>8000</v>
      </c>
      <c r="C57" s="10" t="n">
        <v>35000</v>
      </c>
      <c r="D57" s="10" t="n">
        <v>110000</v>
      </c>
      <c r="E57" s="2"/>
    </row>
    <row r="58" customFormat="false" ht="15" hidden="false" customHeight="false" outlineLevel="0" collapsed="false">
      <c r="A58" s="2" t="s">
        <v>116</v>
      </c>
      <c r="B58" s="7" t="n">
        <v>5</v>
      </c>
      <c r="C58" s="7" t="n">
        <v>10</v>
      </c>
      <c r="D58" s="7" t="n">
        <v>10</v>
      </c>
      <c r="E58" s="2"/>
    </row>
    <row r="59" customFormat="false" ht="15" hidden="false" customHeight="false" outlineLevel="0" collapsed="false">
      <c r="A59" s="2" t="s">
        <v>117</v>
      </c>
      <c r="B59" s="7" t="n">
        <v>3</v>
      </c>
      <c r="C59" s="7" t="n">
        <v>8</v>
      </c>
      <c r="D59" s="7" t="n">
        <v>15</v>
      </c>
      <c r="E59" s="2"/>
    </row>
    <row r="60" customFormat="false" ht="15" hidden="false" customHeight="false" outlineLevel="0" collapsed="false">
      <c r="A60" s="2" t="s">
        <v>118</v>
      </c>
      <c r="B60" s="7" t="n">
        <v>3</v>
      </c>
      <c r="C60" s="7" t="n">
        <v>8</v>
      </c>
      <c r="D60" s="7" t="n">
        <v>20</v>
      </c>
      <c r="E60" s="2"/>
    </row>
    <row r="61" customFormat="false" ht="15" hidden="false" customHeight="false" outlineLevel="0" collapsed="false">
      <c r="A61" s="2" t="s">
        <v>119</v>
      </c>
      <c r="B61" s="9" t="n">
        <v>1</v>
      </c>
      <c r="C61" s="9" t="n">
        <v>1</v>
      </c>
      <c r="D61" s="9" t="n">
        <v>1</v>
      </c>
      <c r="E61" s="2" t="s">
        <v>120</v>
      </c>
    </row>
    <row r="62" customFormat="false" ht="15" hidden="false" customHeight="false" outlineLevel="0" collapsed="false">
      <c r="A62" s="2" t="s">
        <v>121</v>
      </c>
      <c r="B62" s="9" t="n">
        <v>0.6</v>
      </c>
      <c r="C62" s="9" t="n">
        <v>1</v>
      </c>
      <c r="D62" s="9" t="n">
        <v>1</v>
      </c>
      <c r="E62" s="2"/>
    </row>
    <row r="63" customFormat="false" ht="15" hidden="false" customHeight="false" outlineLevel="0" collapsed="false">
      <c r="A63" s="2" t="s">
        <v>122</v>
      </c>
      <c r="B63" s="9" t="n">
        <v>0.5</v>
      </c>
      <c r="C63" s="9" t="n">
        <v>1</v>
      </c>
      <c r="D63" s="9" t="n">
        <v>1</v>
      </c>
      <c r="E63" s="2"/>
    </row>
    <row r="64" customFormat="false" ht="15" hidden="false" customHeight="false" outlineLevel="0" collapsed="false">
      <c r="A64" s="2" t="s">
        <v>17</v>
      </c>
      <c r="B64" s="14" t="n">
        <v>30</v>
      </c>
      <c r="C64" s="14" t="n">
        <v>21</v>
      </c>
      <c r="D64" s="14" t="n">
        <v>15</v>
      </c>
      <c r="E64" s="2" t="s">
        <v>123</v>
      </c>
    </row>
    <row r="65" customFormat="false" ht="15" hidden="false" customHeight="false" outlineLevel="0" collapsed="false">
      <c r="A65" s="2" t="s">
        <v>124</v>
      </c>
      <c r="B65" s="9" t="n">
        <v>0.85</v>
      </c>
      <c r="C65" s="9" t="n">
        <v>0.8</v>
      </c>
      <c r="D65" s="9" t="n">
        <v>0.75</v>
      </c>
      <c r="E65" s="2" t="s">
        <v>125</v>
      </c>
    </row>
    <row r="66" customFormat="false" ht="15" hidden="false" customHeight="false" outlineLevel="0" collapsed="false">
      <c r="A66" s="2" t="s">
        <v>126</v>
      </c>
      <c r="B66" s="9" t="n">
        <v>0.95</v>
      </c>
      <c r="C66" s="9" t="n">
        <v>0.9</v>
      </c>
      <c r="D66" s="9" t="n">
        <v>0.85</v>
      </c>
      <c r="E66" s="2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7" min="2" style="0" width="11"/>
  </cols>
  <sheetData>
    <row r="1" customFormat="false" ht="15" hidden="false" customHeight="false" outlineLevel="0" collapsed="false">
      <c r="A1" s="2" t="s">
        <v>128</v>
      </c>
      <c r="B1" s="15" t="n">
        <v>0</v>
      </c>
      <c r="C1" s="15" t="n">
        <v>1</v>
      </c>
      <c r="D1" s="15" t="n">
        <v>2</v>
      </c>
      <c r="E1" s="15" t="n">
        <v>3</v>
      </c>
      <c r="F1" s="15" t="n">
        <v>4</v>
      </c>
      <c r="G1" s="15" t="n">
        <v>5</v>
      </c>
      <c r="H1" s="15" t="n">
        <v>6</v>
      </c>
      <c r="I1" s="15" t="n">
        <v>7</v>
      </c>
      <c r="J1" s="15" t="n">
        <v>8</v>
      </c>
      <c r="K1" s="15" t="n">
        <v>9</v>
      </c>
      <c r="L1" s="15" t="n">
        <v>10</v>
      </c>
      <c r="M1" s="15" t="n">
        <v>11</v>
      </c>
      <c r="N1" s="15" t="n">
        <v>12</v>
      </c>
      <c r="O1" s="15" t="n">
        <v>13</v>
      </c>
      <c r="P1" s="15" t="n">
        <v>14</v>
      </c>
      <c r="Q1" s="15" t="n">
        <v>15</v>
      </c>
      <c r="R1" s="15" t="n">
        <v>16</v>
      </c>
      <c r="S1" s="15" t="n">
        <v>17</v>
      </c>
      <c r="T1" s="15" t="n">
        <v>18</v>
      </c>
      <c r="U1" s="15" t="n">
        <v>19</v>
      </c>
      <c r="V1" s="15" t="n">
        <v>20</v>
      </c>
      <c r="W1" s="15" t="n">
        <v>21</v>
      </c>
      <c r="X1" s="15" t="n">
        <v>22</v>
      </c>
      <c r="Y1" s="15" t="n">
        <v>23</v>
      </c>
      <c r="Z1" s="15" t="n">
        <v>24</v>
      </c>
      <c r="AA1" s="15" t="n">
        <v>25</v>
      </c>
      <c r="AB1" s="15" t="n">
        <v>26</v>
      </c>
      <c r="AC1" s="15" t="n">
        <v>27</v>
      </c>
      <c r="AD1" s="15" t="n">
        <v>28</v>
      </c>
      <c r="AE1" s="15" t="n">
        <v>29</v>
      </c>
      <c r="AF1" s="15" t="n">
        <v>30</v>
      </c>
      <c r="AG1" s="15" t="n">
        <v>31</v>
      </c>
      <c r="AH1" s="15" t="n">
        <v>32</v>
      </c>
      <c r="AI1" s="15" t="n">
        <v>33</v>
      </c>
      <c r="AJ1" s="15" t="n">
        <v>34</v>
      </c>
      <c r="AK1" s="15" t="n">
        <v>35</v>
      </c>
    </row>
    <row r="2" customFormat="false" ht="15" hidden="false" customHeight="false" outlineLevel="0" collapsed="false">
      <c r="A2" s="2" t="s">
        <v>129</v>
      </c>
      <c r="B2" s="15" t="n">
        <f aca="false">1+INT(B1/12)</f>
        <v>1</v>
      </c>
      <c r="C2" s="15" t="n">
        <f aca="false">1+INT(C1/12)</f>
        <v>1</v>
      </c>
      <c r="D2" s="15" t="n">
        <f aca="false">1+INT(D1/12)</f>
        <v>1</v>
      </c>
      <c r="E2" s="15" t="n">
        <f aca="false">1+INT(E1/12)</f>
        <v>1</v>
      </c>
      <c r="F2" s="15" t="n">
        <f aca="false">1+INT(F1/12)</f>
        <v>1</v>
      </c>
      <c r="G2" s="15" t="n">
        <f aca="false">1+INT(G1/12)</f>
        <v>1</v>
      </c>
      <c r="H2" s="15" t="n">
        <f aca="false">1+INT(H1/12)</f>
        <v>1</v>
      </c>
      <c r="I2" s="15" t="n">
        <f aca="false">1+INT(I1/12)</f>
        <v>1</v>
      </c>
      <c r="J2" s="15" t="n">
        <f aca="false">1+INT(J1/12)</f>
        <v>1</v>
      </c>
      <c r="K2" s="15" t="n">
        <f aca="false">1+INT(K1/12)</f>
        <v>1</v>
      </c>
      <c r="L2" s="15" t="n">
        <f aca="false">1+INT(L1/12)</f>
        <v>1</v>
      </c>
      <c r="M2" s="15" t="n">
        <f aca="false">1+INT(M1/12)</f>
        <v>1</v>
      </c>
      <c r="N2" s="15" t="n">
        <f aca="false">1+INT(N1/12)</f>
        <v>2</v>
      </c>
      <c r="O2" s="15" t="n">
        <f aca="false">1+INT(O1/12)</f>
        <v>2</v>
      </c>
      <c r="P2" s="15" t="n">
        <f aca="false">1+INT(P1/12)</f>
        <v>2</v>
      </c>
      <c r="Q2" s="15" t="n">
        <f aca="false">1+INT(Q1/12)</f>
        <v>2</v>
      </c>
      <c r="R2" s="15" t="n">
        <f aca="false">1+INT(R1/12)</f>
        <v>2</v>
      </c>
      <c r="S2" s="15" t="n">
        <f aca="false">1+INT(S1/12)</f>
        <v>2</v>
      </c>
      <c r="T2" s="15" t="n">
        <f aca="false">1+INT(T1/12)</f>
        <v>2</v>
      </c>
      <c r="U2" s="15" t="n">
        <f aca="false">1+INT(U1/12)</f>
        <v>2</v>
      </c>
      <c r="V2" s="15" t="n">
        <f aca="false">1+INT(V1/12)</f>
        <v>2</v>
      </c>
      <c r="W2" s="15" t="n">
        <f aca="false">1+INT(W1/12)</f>
        <v>2</v>
      </c>
      <c r="X2" s="15" t="n">
        <f aca="false">1+INT(X1/12)</f>
        <v>2</v>
      </c>
      <c r="Y2" s="15" t="n">
        <f aca="false">1+INT(Y1/12)</f>
        <v>2</v>
      </c>
      <c r="Z2" s="15" t="n">
        <f aca="false">1+INT(Z1/12)</f>
        <v>3</v>
      </c>
      <c r="AA2" s="15" t="n">
        <f aca="false">1+INT(AA1/12)</f>
        <v>3</v>
      </c>
      <c r="AB2" s="15" t="n">
        <f aca="false">1+INT(AB1/12)</f>
        <v>3</v>
      </c>
      <c r="AC2" s="15" t="n">
        <f aca="false">1+INT(AC1/12)</f>
        <v>3</v>
      </c>
      <c r="AD2" s="15" t="n">
        <f aca="false">1+INT(AD1/12)</f>
        <v>3</v>
      </c>
      <c r="AE2" s="15" t="n">
        <f aca="false">1+INT(AE1/12)</f>
        <v>3</v>
      </c>
      <c r="AF2" s="15" t="n">
        <f aca="false">1+INT(AF1/12)</f>
        <v>3</v>
      </c>
      <c r="AG2" s="15" t="n">
        <f aca="false">1+INT(AG1/12)</f>
        <v>3</v>
      </c>
      <c r="AH2" s="15" t="n">
        <f aca="false">1+INT(AH1/12)</f>
        <v>3</v>
      </c>
      <c r="AI2" s="15" t="n">
        <f aca="false">1+INT(AI1/12)</f>
        <v>3</v>
      </c>
      <c r="AJ2" s="15" t="n">
        <f aca="false">1+INT(AJ1/12)</f>
        <v>3</v>
      </c>
      <c r="AK2" s="15" t="n">
        <f aca="false">1+INT(AK1/12)</f>
        <v>3</v>
      </c>
    </row>
    <row r="3" customFormat="false" ht="15" hidden="false" customHeight="false" outlineLevel="0" collapsed="false">
      <c r="A3" s="2" t="s">
        <v>130</v>
      </c>
      <c r="B3" s="15" t="n">
        <f aca="false">IF(B1&gt;=Assumptions!$B$64,1,0)</f>
        <v>0</v>
      </c>
      <c r="C3" s="15" t="n">
        <f aca="false">IF(C1&gt;=Assumptions!$B$64,1,0)</f>
        <v>0</v>
      </c>
      <c r="D3" s="15" t="n">
        <f aca="false">IF(D1&gt;=Assumptions!$B$64,1,0)</f>
        <v>0</v>
      </c>
      <c r="E3" s="15" t="n">
        <f aca="false">IF(E1&gt;=Assumptions!$B$64,1,0)</f>
        <v>0</v>
      </c>
      <c r="F3" s="15" t="n">
        <f aca="false">IF(F1&gt;=Assumptions!$B$64,1,0)</f>
        <v>0</v>
      </c>
      <c r="G3" s="15" t="n">
        <f aca="false">IF(G1&gt;=Assumptions!$B$64,1,0)</f>
        <v>0</v>
      </c>
      <c r="H3" s="15" t="n">
        <f aca="false">IF(H1&gt;=Assumptions!$B$64,1,0)</f>
        <v>0</v>
      </c>
      <c r="I3" s="15" t="n">
        <f aca="false">IF(I1&gt;=Assumptions!$B$64,1,0)</f>
        <v>0</v>
      </c>
      <c r="J3" s="15" t="n">
        <f aca="false">IF(J1&gt;=Assumptions!$B$64,1,0)</f>
        <v>0</v>
      </c>
      <c r="K3" s="15" t="n">
        <f aca="false">IF(K1&gt;=Assumptions!$B$64,1,0)</f>
        <v>0</v>
      </c>
      <c r="L3" s="15" t="n">
        <f aca="false">IF(L1&gt;=Assumptions!$B$64,1,0)</f>
        <v>0</v>
      </c>
      <c r="M3" s="15" t="n">
        <f aca="false">IF(M1&gt;=Assumptions!$B$64,1,0)</f>
        <v>0</v>
      </c>
      <c r="N3" s="15" t="n">
        <f aca="false">IF(N1&gt;=Assumptions!$B$64,1,0)</f>
        <v>0</v>
      </c>
      <c r="O3" s="15" t="n">
        <f aca="false">IF(O1&gt;=Assumptions!$B$64,1,0)</f>
        <v>0</v>
      </c>
      <c r="P3" s="15" t="n">
        <f aca="false">IF(P1&gt;=Assumptions!$B$64,1,0)</f>
        <v>0</v>
      </c>
      <c r="Q3" s="15" t="n">
        <f aca="false">IF(Q1&gt;=Assumptions!$B$64,1,0)</f>
        <v>0</v>
      </c>
      <c r="R3" s="15" t="n">
        <f aca="false">IF(R1&gt;=Assumptions!$B$64,1,0)</f>
        <v>0</v>
      </c>
      <c r="S3" s="15" t="n">
        <f aca="false">IF(S1&gt;=Assumptions!$B$64,1,0)</f>
        <v>0</v>
      </c>
      <c r="T3" s="15" t="n">
        <f aca="false">IF(T1&gt;=Assumptions!$B$64,1,0)</f>
        <v>0</v>
      </c>
      <c r="U3" s="15" t="n">
        <f aca="false">IF(U1&gt;=Assumptions!$B$64,1,0)</f>
        <v>0</v>
      </c>
      <c r="V3" s="15" t="n">
        <f aca="false">IF(V1&gt;=Assumptions!$B$64,1,0)</f>
        <v>0</v>
      </c>
      <c r="W3" s="15" t="n">
        <f aca="false">IF(W1&gt;=Assumptions!$B$64,1,0)</f>
        <v>0</v>
      </c>
      <c r="X3" s="15" t="n">
        <f aca="false">IF(X1&gt;=Assumptions!$B$64,1,0)</f>
        <v>0</v>
      </c>
      <c r="Y3" s="15" t="n">
        <f aca="false">IF(Y1&gt;=Assumptions!$B$64,1,0)</f>
        <v>0</v>
      </c>
      <c r="Z3" s="15" t="n">
        <f aca="false">IF(Z1&gt;=Assumptions!$B$64,1,0)</f>
        <v>0</v>
      </c>
      <c r="AA3" s="15" t="n">
        <f aca="false">IF(AA1&gt;=Assumptions!$B$64,1,0)</f>
        <v>0</v>
      </c>
      <c r="AB3" s="15" t="n">
        <f aca="false">IF(AB1&gt;=Assumptions!$B$64,1,0)</f>
        <v>0</v>
      </c>
      <c r="AC3" s="15" t="n">
        <f aca="false">IF(AC1&gt;=Assumptions!$B$64,1,0)</f>
        <v>0</v>
      </c>
      <c r="AD3" s="15" t="n">
        <f aca="false">IF(AD1&gt;=Assumptions!$B$64,1,0)</f>
        <v>0</v>
      </c>
      <c r="AE3" s="15" t="n">
        <f aca="false">IF(AE1&gt;=Assumptions!$B$64,1,0)</f>
        <v>0</v>
      </c>
      <c r="AF3" s="15" t="n">
        <f aca="false">IF(AF1&gt;=Assumptions!$B$64,1,0)</f>
        <v>1</v>
      </c>
      <c r="AG3" s="15" t="n">
        <f aca="false">IF(AG1&gt;=Assumptions!$B$64,1,0)</f>
        <v>1</v>
      </c>
      <c r="AH3" s="15" t="n">
        <f aca="false">IF(AH1&gt;=Assumptions!$B$64,1,0)</f>
        <v>1</v>
      </c>
      <c r="AI3" s="15" t="n">
        <f aca="false">IF(AI1&gt;=Assumptions!$B$64,1,0)</f>
        <v>1</v>
      </c>
      <c r="AJ3" s="15" t="n">
        <f aca="false">IF(AJ1&gt;=Assumptions!$B$64,1,0)</f>
        <v>1</v>
      </c>
      <c r="AK3" s="15" t="n">
        <f aca="false">IF(AK1&gt;=Assumptions!$B$64,1,0)</f>
        <v>1</v>
      </c>
    </row>
    <row r="4" customFormat="false" ht="15" hidden="false" customHeight="false" outlineLevel="0" collapsed="false">
      <c r="A4" s="2" t="s">
        <v>131</v>
      </c>
      <c r="B4" s="16" t="n">
        <f aca="false">IF(B3=1,Assumptions!$B$65,1)</f>
        <v>1</v>
      </c>
      <c r="C4" s="16" t="n">
        <f aca="false">IF(C3=1,Assumptions!$B$65,1)</f>
        <v>1</v>
      </c>
      <c r="D4" s="16" t="n">
        <f aca="false">IF(D3=1,Assumptions!$B$65,1)</f>
        <v>1</v>
      </c>
      <c r="E4" s="16" t="n">
        <f aca="false">IF(E3=1,Assumptions!$B$65,1)</f>
        <v>1</v>
      </c>
      <c r="F4" s="16" t="n">
        <f aca="false">IF(F3=1,Assumptions!$B$65,1)</f>
        <v>1</v>
      </c>
      <c r="G4" s="16" t="n">
        <f aca="false">IF(G3=1,Assumptions!$B$65,1)</f>
        <v>1</v>
      </c>
      <c r="H4" s="16" t="n">
        <f aca="false">IF(H3=1,Assumptions!$B$65,1)</f>
        <v>1</v>
      </c>
      <c r="I4" s="16" t="n">
        <f aca="false">IF(I3=1,Assumptions!$B$65,1)</f>
        <v>1</v>
      </c>
      <c r="J4" s="16" t="n">
        <f aca="false">IF(J3=1,Assumptions!$B$65,1)</f>
        <v>1</v>
      </c>
      <c r="K4" s="16" t="n">
        <f aca="false">IF(K3=1,Assumptions!$B$65,1)</f>
        <v>1</v>
      </c>
      <c r="L4" s="16" t="n">
        <f aca="false">IF(L3=1,Assumptions!$B$65,1)</f>
        <v>1</v>
      </c>
      <c r="M4" s="16" t="n">
        <f aca="false">IF(M3=1,Assumptions!$B$65,1)</f>
        <v>1</v>
      </c>
      <c r="N4" s="16" t="n">
        <f aca="false">IF(N3=1,Assumptions!$B$65,1)</f>
        <v>1</v>
      </c>
      <c r="O4" s="16" t="n">
        <f aca="false">IF(O3=1,Assumptions!$B$65,1)</f>
        <v>1</v>
      </c>
      <c r="P4" s="16" t="n">
        <f aca="false">IF(P3=1,Assumptions!$B$65,1)</f>
        <v>1</v>
      </c>
      <c r="Q4" s="16" t="n">
        <f aca="false">IF(Q3=1,Assumptions!$B$65,1)</f>
        <v>1</v>
      </c>
      <c r="R4" s="16" t="n">
        <f aca="false">IF(R3=1,Assumptions!$B$65,1)</f>
        <v>1</v>
      </c>
      <c r="S4" s="16" t="n">
        <f aca="false">IF(S3=1,Assumptions!$B$65,1)</f>
        <v>1</v>
      </c>
      <c r="T4" s="16" t="n">
        <f aca="false">IF(T3=1,Assumptions!$B$65,1)</f>
        <v>1</v>
      </c>
      <c r="U4" s="16" t="n">
        <f aca="false">IF(U3=1,Assumptions!$B$65,1)</f>
        <v>1</v>
      </c>
      <c r="V4" s="16" t="n">
        <f aca="false">IF(V3=1,Assumptions!$B$65,1)</f>
        <v>1</v>
      </c>
      <c r="W4" s="16" t="n">
        <f aca="false">IF(W3=1,Assumptions!$B$65,1)</f>
        <v>1</v>
      </c>
      <c r="X4" s="16" t="n">
        <f aca="false">IF(X3=1,Assumptions!$B$65,1)</f>
        <v>1</v>
      </c>
      <c r="Y4" s="16" t="n">
        <f aca="false">IF(Y3=1,Assumptions!$B$65,1)</f>
        <v>1</v>
      </c>
      <c r="Z4" s="16" t="n">
        <f aca="false">IF(Z3=1,Assumptions!$B$65,1)</f>
        <v>1</v>
      </c>
      <c r="AA4" s="16" t="n">
        <f aca="false">IF(AA3=1,Assumptions!$B$65,1)</f>
        <v>1</v>
      </c>
      <c r="AB4" s="16" t="n">
        <f aca="false">IF(AB3=1,Assumptions!$B$65,1)</f>
        <v>1</v>
      </c>
      <c r="AC4" s="16" t="n">
        <f aca="false">IF(AC3=1,Assumptions!$B$65,1)</f>
        <v>1</v>
      </c>
      <c r="AD4" s="16" t="n">
        <f aca="false">IF(AD3=1,Assumptions!$B$65,1)</f>
        <v>1</v>
      </c>
      <c r="AE4" s="16" t="n">
        <f aca="false">IF(AE3=1,Assumptions!$B$65,1)</f>
        <v>1</v>
      </c>
      <c r="AF4" s="16" t="n">
        <f aca="false">IF(AF3=1,Assumptions!$B$65,1)</f>
        <v>0.85</v>
      </c>
      <c r="AG4" s="16" t="n">
        <f aca="false">IF(AG3=1,Assumptions!$B$65,1)</f>
        <v>0.85</v>
      </c>
      <c r="AH4" s="16" t="n">
        <f aca="false">IF(AH3=1,Assumptions!$B$65,1)</f>
        <v>0.85</v>
      </c>
      <c r="AI4" s="16" t="n">
        <f aca="false">IF(AI3=1,Assumptions!$B$65,1)</f>
        <v>0.85</v>
      </c>
      <c r="AJ4" s="16" t="n">
        <f aca="false">IF(AJ3=1,Assumptions!$B$65,1)</f>
        <v>0.85</v>
      </c>
      <c r="AK4" s="16" t="n">
        <f aca="false">IF(AK3=1,Assumptions!$B$65,1)</f>
        <v>0.85</v>
      </c>
    </row>
    <row r="5" customFormat="false" ht="15" hidden="false" customHeight="false" outlineLevel="0" collapsed="false">
      <c r="A5" s="2" t="s">
        <v>132</v>
      </c>
      <c r="B5" s="17" t="n">
        <f aca="false">Assumptions!$B$34*IF(B3=1,Assumptions!$B$66,1)</f>
        <v>40</v>
      </c>
      <c r="C5" s="17" t="n">
        <f aca="false">Assumptions!$B$34*IF(C3=1,Assumptions!$B$66,1)</f>
        <v>40</v>
      </c>
      <c r="D5" s="17" t="n">
        <f aca="false">Assumptions!$B$34*IF(D3=1,Assumptions!$B$66,1)</f>
        <v>40</v>
      </c>
      <c r="E5" s="17" t="n">
        <f aca="false">Assumptions!$B$34*IF(E3=1,Assumptions!$B$66,1)</f>
        <v>40</v>
      </c>
      <c r="F5" s="17" t="n">
        <f aca="false">Assumptions!$B$34*IF(F3=1,Assumptions!$B$66,1)</f>
        <v>40</v>
      </c>
      <c r="G5" s="17" t="n">
        <f aca="false">Assumptions!$B$34*IF(G3=1,Assumptions!$B$66,1)</f>
        <v>40</v>
      </c>
      <c r="H5" s="17" t="n">
        <f aca="false">Assumptions!$B$34*IF(H3=1,Assumptions!$B$66,1)</f>
        <v>40</v>
      </c>
      <c r="I5" s="17" t="n">
        <f aca="false">Assumptions!$B$34*IF(I3=1,Assumptions!$B$66,1)</f>
        <v>40</v>
      </c>
      <c r="J5" s="17" t="n">
        <f aca="false">Assumptions!$B$34*IF(J3=1,Assumptions!$B$66,1)</f>
        <v>40</v>
      </c>
      <c r="K5" s="17" t="n">
        <f aca="false">Assumptions!$B$34*IF(K3=1,Assumptions!$B$66,1)</f>
        <v>40</v>
      </c>
      <c r="L5" s="17" t="n">
        <f aca="false">Assumptions!$B$34*IF(L3=1,Assumptions!$B$66,1)</f>
        <v>40</v>
      </c>
      <c r="M5" s="17" t="n">
        <f aca="false">Assumptions!$B$34*IF(M3=1,Assumptions!$B$66,1)</f>
        <v>40</v>
      </c>
      <c r="N5" s="17" t="n">
        <f aca="false">Assumptions!$B$34*IF(N3=1,Assumptions!$B$66,1)</f>
        <v>40</v>
      </c>
      <c r="O5" s="17" t="n">
        <f aca="false">Assumptions!$B$34*IF(O3=1,Assumptions!$B$66,1)</f>
        <v>40</v>
      </c>
      <c r="P5" s="17" t="n">
        <f aca="false">Assumptions!$B$34*IF(P3=1,Assumptions!$B$66,1)</f>
        <v>40</v>
      </c>
      <c r="Q5" s="17" t="n">
        <f aca="false">Assumptions!$B$34*IF(Q3=1,Assumptions!$B$66,1)</f>
        <v>40</v>
      </c>
      <c r="R5" s="17" t="n">
        <f aca="false">Assumptions!$B$34*IF(R3=1,Assumptions!$B$66,1)</f>
        <v>40</v>
      </c>
      <c r="S5" s="17" t="n">
        <f aca="false">Assumptions!$B$34*IF(S3=1,Assumptions!$B$66,1)</f>
        <v>40</v>
      </c>
      <c r="T5" s="17" t="n">
        <f aca="false">Assumptions!$B$34*IF(T3=1,Assumptions!$B$66,1)</f>
        <v>40</v>
      </c>
      <c r="U5" s="17" t="n">
        <f aca="false">Assumptions!$B$34*IF(U3=1,Assumptions!$B$66,1)</f>
        <v>40</v>
      </c>
      <c r="V5" s="17" t="n">
        <f aca="false">Assumptions!$B$34*IF(V3=1,Assumptions!$B$66,1)</f>
        <v>40</v>
      </c>
      <c r="W5" s="17" t="n">
        <f aca="false">Assumptions!$B$34*IF(W3=1,Assumptions!$B$66,1)</f>
        <v>40</v>
      </c>
      <c r="X5" s="17" t="n">
        <f aca="false">Assumptions!$B$34*IF(X3=1,Assumptions!$B$66,1)</f>
        <v>40</v>
      </c>
      <c r="Y5" s="17" t="n">
        <f aca="false">Assumptions!$B$34*IF(Y3=1,Assumptions!$B$66,1)</f>
        <v>40</v>
      </c>
      <c r="Z5" s="17" t="n">
        <f aca="false">Assumptions!$B$34*IF(Z3=1,Assumptions!$B$66,1)</f>
        <v>40</v>
      </c>
      <c r="AA5" s="17" t="n">
        <f aca="false">Assumptions!$B$34*IF(AA3=1,Assumptions!$B$66,1)</f>
        <v>40</v>
      </c>
      <c r="AB5" s="17" t="n">
        <f aca="false">Assumptions!$B$34*IF(AB3=1,Assumptions!$B$66,1)</f>
        <v>40</v>
      </c>
      <c r="AC5" s="17" t="n">
        <f aca="false">Assumptions!$B$34*IF(AC3=1,Assumptions!$B$66,1)</f>
        <v>40</v>
      </c>
      <c r="AD5" s="17" t="n">
        <f aca="false">Assumptions!$B$34*IF(AD3=1,Assumptions!$B$66,1)</f>
        <v>40</v>
      </c>
      <c r="AE5" s="17" t="n">
        <f aca="false">Assumptions!$B$34*IF(AE3=1,Assumptions!$B$66,1)</f>
        <v>40</v>
      </c>
      <c r="AF5" s="17" t="n">
        <f aca="false">Assumptions!$B$34*IF(AF3=1,Assumptions!$B$66,1)</f>
        <v>38</v>
      </c>
      <c r="AG5" s="17" t="n">
        <f aca="false">Assumptions!$B$34*IF(AG3=1,Assumptions!$B$66,1)</f>
        <v>38</v>
      </c>
      <c r="AH5" s="17" t="n">
        <f aca="false">Assumptions!$B$34*IF(AH3=1,Assumptions!$B$66,1)</f>
        <v>38</v>
      </c>
      <c r="AI5" s="17" t="n">
        <f aca="false">Assumptions!$B$34*IF(AI3=1,Assumptions!$B$66,1)</f>
        <v>38</v>
      </c>
      <c r="AJ5" s="17" t="n">
        <f aca="false">Assumptions!$B$34*IF(AJ3=1,Assumptions!$B$66,1)</f>
        <v>38</v>
      </c>
      <c r="AK5" s="17" t="n">
        <f aca="false">Assumptions!$B$34*IF(AK3=1,Assumptions!$B$66,1)</f>
        <v>38</v>
      </c>
    </row>
    <row r="6" customFormat="false" ht="15" hidden="false" customHeight="false" outlineLevel="0" collapsed="false">
      <c r="A6" s="2" t="s">
        <v>133</v>
      </c>
      <c r="B6" s="18" t="n">
        <f aca="false">IF(B1&lt;3,Assumptions!$B$38/3,CHOOSE(B2,Assumptions!$B$39,Assumptions!$B$40,Assumptions!$B$41))</f>
        <v>53333.3333333333</v>
      </c>
      <c r="C6" s="18" t="n">
        <f aca="false">IF(C1&lt;3,Assumptions!$B$38/3,CHOOSE(C2,Assumptions!$B$39,Assumptions!$B$40,Assumptions!$B$41))</f>
        <v>53333.3333333333</v>
      </c>
      <c r="D6" s="18" t="n">
        <f aca="false">IF(D1&lt;3,Assumptions!$B$38/3,CHOOSE(D2,Assumptions!$B$39,Assumptions!$B$40,Assumptions!$B$41))</f>
        <v>53333.3333333333</v>
      </c>
      <c r="E6" s="18" t="n">
        <f aca="false">IF(E1&lt;3,Assumptions!$B$38/3,CHOOSE(E2,Assumptions!$B$39,Assumptions!$B$40,Assumptions!$B$41))</f>
        <v>7000</v>
      </c>
      <c r="F6" s="18" t="n">
        <f aca="false">IF(F1&lt;3,Assumptions!$B$38/3,CHOOSE(F2,Assumptions!$B$39,Assumptions!$B$40,Assumptions!$B$41))</f>
        <v>7000</v>
      </c>
      <c r="G6" s="18" t="n">
        <f aca="false">IF(G1&lt;3,Assumptions!$B$38/3,CHOOSE(G2,Assumptions!$B$39,Assumptions!$B$40,Assumptions!$B$41))</f>
        <v>7000</v>
      </c>
      <c r="H6" s="18" t="n">
        <f aca="false">IF(H1&lt;3,Assumptions!$B$38/3,CHOOSE(H2,Assumptions!$B$39,Assumptions!$B$40,Assumptions!$B$41))</f>
        <v>7000</v>
      </c>
      <c r="I6" s="18" t="n">
        <f aca="false">IF(I1&lt;3,Assumptions!$B$38/3,CHOOSE(I2,Assumptions!$B$39,Assumptions!$B$40,Assumptions!$B$41))</f>
        <v>7000</v>
      </c>
      <c r="J6" s="18" t="n">
        <f aca="false">IF(J1&lt;3,Assumptions!$B$38/3,CHOOSE(J2,Assumptions!$B$39,Assumptions!$B$40,Assumptions!$B$41))</f>
        <v>7000</v>
      </c>
      <c r="K6" s="18" t="n">
        <f aca="false">IF(K1&lt;3,Assumptions!$B$38/3,CHOOSE(K2,Assumptions!$B$39,Assumptions!$B$40,Assumptions!$B$41))</f>
        <v>7000</v>
      </c>
      <c r="L6" s="18" t="n">
        <f aca="false">IF(L1&lt;3,Assumptions!$B$38/3,CHOOSE(L2,Assumptions!$B$39,Assumptions!$B$40,Assumptions!$B$41))</f>
        <v>7000</v>
      </c>
      <c r="M6" s="18" t="n">
        <f aca="false">IF(M1&lt;3,Assumptions!$B$38/3,CHOOSE(M2,Assumptions!$B$39,Assumptions!$B$40,Assumptions!$B$41))</f>
        <v>7000</v>
      </c>
      <c r="N6" s="18" t="n">
        <f aca="false">IF(N1&lt;3,Assumptions!$B$38/3,CHOOSE(N2,Assumptions!$B$39,Assumptions!$B$40,Assumptions!$B$41))</f>
        <v>5000</v>
      </c>
      <c r="O6" s="18" t="n">
        <f aca="false">IF(O1&lt;3,Assumptions!$B$38/3,CHOOSE(O2,Assumptions!$B$39,Assumptions!$B$40,Assumptions!$B$41))</f>
        <v>5000</v>
      </c>
      <c r="P6" s="18" t="n">
        <f aca="false">IF(P1&lt;3,Assumptions!$B$38/3,CHOOSE(P2,Assumptions!$B$39,Assumptions!$B$40,Assumptions!$B$41))</f>
        <v>5000</v>
      </c>
      <c r="Q6" s="18" t="n">
        <f aca="false">IF(Q1&lt;3,Assumptions!$B$38/3,CHOOSE(Q2,Assumptions!$B$39,Assumptions!$B$40,Assumptions!$B$41))</f>
        <v>5000</v>
      </c>
      <c r="R6" s="18" t="n">
        <f aca="false">IF(R1&lt;3,Assumptions!$B$38/3,CHOOSE(R2,Assumptions!$B$39,Assumptions!$B$40,Assumptions!$B$41))</f>
        <v>5000</v>
      </c>
      <c r="S6" s="18" t="n">
        <f aca="false">IF(S1&lt;3,Assumptions!$B$38/3,CHOOSE(S2,Assumptions!$B$39,Assumptions!$B$40,Assumptions!$B$41))</f>
        <v>5000</v>
      </c>
      <c r="T6" s="18" t="n">
        <f aca="false">IF(T1&lt;3,Assumptions!$B$38/3,CHOOSE(T2,Assumptions!$B$39,Assumptions!$B$40,Assumptions!$B$41))</f>
        <v>5000</v>
      </c>
      <c r="U6" s="18" t="n">
        <f aca="false">IF(U1&lt;3,Assumptions!$B$38/3,CHOOSE(U2,Assumptions!$B$39,Assumptions!$B$40,Assumptions!$B$41))</f>
        <v>5000</v>
      </c>
      <c r="V6" s="18" t="n">
        <f aca="false">IF(V1&lt;3,Assumptions!$B$38/3,CHOOSE(V2,Assumptions!$B$39,Assumptions!$B$40,Assumptions!$B$41))</f>
        <v>5000</v>
      </c>
      <c r="W6" s="18" t="n">
        <f aca="false">IF(W1&lt;3,Assumptions!$B$38/3,CHOOSE(W2,Assumptions!$B$39,Assumptions!$B$40,Assumptions!$B$41))</f>
        <v>5000</v>
      </c>
      <c r="X6" s="18" t="n">
        <f aca="false">IF(X1&lt;3,Assumptions!$B$38/3,CHOOSE(X2,Assumptions!$B$39,Assumptions!$B$40,Assumptions!$B$41))</f>
        <v>5000</v>
      </c>
      <c r="Y6" s="18" t="n">
        <f aca="false">IF(Y1&lt;3,Assumptions!$B$38/3,CHOOSE(Y2,Assumptions!$B$39,Assumptions!$B$40,Assumptions!$B$41))</f>
        <v>5000</v>
      </c>
      <c r="Z6" s="18" t="n">
        <f aca="false">IF(Z1&lt;3,Assumptions!$B$38/3,CHOOSE(Z2,Assumptions!$B$39,Assumptions!$B$40,Assumptions!$B$41))</f>
        <v>5000</v>
      </c>
      <c r="AA6" s="18" t="n">
        <f aca="false">IF(AA1&lt;3,Assumptions!$B$38/3,CHOOSE(AA2,Assumptions!$B$39,Assumptions!$B$40,Assumptions!$B$41))</f>
        <v>5000</v>
      </c>
      <c r="AB6" s="18" t="n">
        <f aca="false">IF(AB1&lt;3,Assumptions!$B$38/3,CHOOSE(AB2,Assumptions!$B$39,Assumptions!$B$40,Assumptions!$B$41))</f>
        <v>5000</v>
      </c>
      <c r="AC6" s="18" t="n">
        <f aca="false">IF(AC1&lt;3,Assumptions!$B$38/3,CHOOSE(AC2,Assumptions!$B$39,Assumptions!$B$40,Assumptions!$B$41))</f>
        <v>5000</v>
      </c>
      <c r="AD6" s="18" t="n">
        <f aca="false">IF(AD1&lt;3,Assumptions!$B$38/3,CHOOSE(AD2,Assumptions!$B$39,Assumptions!$B$40,Assumptions!$B$41))</f>
        <v>5000</v>
      </c>
      <c r="AE6" s="18" t="n">
        <f aca="false">IF(AE1&lt;3,Assumptions!$B$38/3,CHOOSE(AE2,Assumptions!$B$39,Assumptions!$B$40,Assumptions!$B$41))</f>
        <v>5000</v>
      </c>
      <c r="AF6" s="18" t="n">
        <f aca="false">IF(AF1&lt;3,Assumptions!$B$38/3,CHOOSE(AF2,Assumptions!$B$39,Assumptions!$B$40,Assumptions!$B$41))</f>
        <v>5000</v>
      </c>
      <c r="AG6" s="18" t="n">
        <f aca="false">IF(AG1&lt;3,Assumptions!$B$38/3,CHOOSE(AG2,Assumptions!$B$39,Assumptions!$B$40,Assumptions!$B$41))</f>
        <v>5000</v>
      </c>
      <c r="AH6" s="18" t="n">
        <f aca="false">IF(AH1&lt;3,Assumptions!$B$38/3,CHOOSE(AH2,Assumptions!$B$39,Assumptions!$B$40,Assumptions!$B$41))</f>
        <v>5000</v>
      </c>
      <c r="AI6" s="18" t="n">
        <f aca="false">IF(AI1&lt;3,Assumptions!$B$38/3,CHOOSE(AI2,Assumptions!$B$39,Assumptions!$B$40,Assumptions!$B$41))</f>
        <v>5000</v>
      </c>
      <c r="AJ6" s="18" t="n">
        <f aca="false">IF(AJ1&lt;3,Assumptions!$B$38/3,CHOOSE(AJ2,Assumptions!$B$39,Assumptions!$B$40,Assumptions!$B$41))</f>
        <v>5000</v>
      </c>
      <c r="AK6" s="18" t="n">
        <f aca="false">IF(AK1&lt;3,Assumptions!$B$38/3,CHOOSE(AK2,Assumptions!$B$39,Assumptions!$B$40,Assumptions!$B$41))</f>
        <v>5000</v>
      </c>
    </row>
    <row r="7" customFormat="false" ht="15" hidden="false" customHeight="false" outlineLevel="0" collapsed="false">
      <c r="A7" s="2" t="s">
        <v>134</v>
      </c>
      <c r="B7" s="15" t="n">
        <f aca="false">B6/Assumptions!$B$26*CHOOSE(B2,Assumptions!$B$27,Assumptions!$B$28,Assumptions!$B$29)*B4</f>
        <v>18018.018018018</v>
      </c>
      <c r="C7" s="15" t="n">
        <f aca="false">C6/Assumptions!$B$26*CHOOSE(C2,Assumptions!$B$27,Assumptions!$B$28,Assumptions!$B$29)*C4</f>
        <v>18018.018018018</v>
      </c>
      <c r="D7" s="15" t="n">
        <f aca="false">D6/Assumptions!$B$26*CHOOSE(D2,Assumptions!$B$27,Assumptions!$B$28,Assumptions!$B$29)*D4</f>
        <v>18018.018018018</v>
      </c>
      <c r="E7" s="15" t="n">
        <f aca="false">E6/Assumptions!$B$26*CHOOSE(E2,Assumptions!$B$27,Assumptions!$B$28,Assumptions!$B$29)*E4</f>
        <v>2364.86486486487</v>
      </c>
      <c r="F7" s="15" t="n">
        <f aca="false">F6/Assumptions!$B$26*CHOOSE(F2,Assumptions!$B$27,Assumptions!$B$28,Assumptions!$B$29)*F4</f>
        <v>2364.86486486487</v>
      </c>
      <c r="G7" s="15" t="n">
        <f aca="false">G6/Assumptions!$B$26*CHOOSE(G2,Assumptions!$B$27,Assumptions!$B$28,Assumptions!$B$29)*G4</f>
        <v>2364.86486486487</v>
      </c>
      <c r="H7" s="15" t="n">
        <f aca="false">H6/Assumptions!$B$26*CHOOSE(H2,Assumptions!$B$27,Assumptions!$B$28,Assumptions!$B$29)*H4</f>
        <v>2364.86486486487</v>
      </c>
      <c r="I7" s="15" t="n">
        <f aca="false">I6/Assumptions!$B$26*CHOOSE(I2,Assumptions!$B$27,Assumptions!$B$28,Assumptions!$B$29)*I4</f>
        <v>2364.86486486487</v>
      </c>
      <c r="J7" s="15" t="n">
        <f aca="false">J6/Assumptions!$B$26*CHOOSE(J2,Assumptions!$B$27,Assumptions!$B$28,Assumptions!$B$29)*J4</f>
        <v>2364.86486486487</v>
      </c>
      <c r="K7" s="15" t="n">
        <f aca="false">K6/Assumptions!$B$26*CHOOSE(K2,Assumptions!$B$27,Assumptions!$B$28,Assumptions!$B$29)*K4</f>
        <v>2364.86486486487</v>
      </c>
      <c r="L7" s="15" t="n">
        <f aca="false">L6/Assumptions!$B$26*CHOOSE(L2,Assumptions!$B$27,Assumptions!$B$28,Assumptions!$B$29)*L4</f>
        <v>2364.86486486487</v>
      </c>
      <c r="M7" s="15" t="n">
        <f aca="false">M6/Assumptions!$B$26*CHOOSE(M2,Assumptions!$B$27,Assumptions!$B$28,Assumptions!$B$29)*M4</f>
        <v>2364.86486486487</v>
      </c>
      <c r="N7" s="15" t="n">
        <f aca="false">N6/Assumptions!$B$26*CHOOSE(N2,Assumptions!$B$27,Assumptions!$B$28,Assumptions!$B$29)*N4</f>
        <v>1621.62162162162</v>
      </c>
      <c r="O7" s="15" t="n">
        <f aca="false">O6/Assumptions!$B$26*CHOOSE(O2,Assumptions!$B$27,Assumptions!$B$28,Assumptions!$B$29)*O4</f>
        <v>1621.62162162162</v>
      </c>
      <c r="P7" s="15" t="n">
        <f aca="false">P6/Assumptions!$B$26*CHOOSE(P2,Assumptions!$B$27,Assumptions!$B$28,Assumptions!$B$29)*P4</f>
        <v>1621.62162162162</v>
      </c>
      <c r="Q7" s="15" t="n">
        <f aca="false">Q6/Assumptions!$B$26*CHOOSE(Q2,Assumptions!$B$27,Assumptions!$B$28,Assumptions!$B$29)*Q4</f>
        <v>1621.62162162162</v>
      </c>
      <c r="R7" s="15" t="n">
        <f aca="false">R6/Assumptions!$B$26*CHOOSE(R2,Assumptions!$B$27,Assumptions!$B$28,Assumptions!$B$29)*R4</f>
        <v>1621.62162162162</v>
      </c>
      <c r="S7" s="15" t="n">
        <f aca="false">S6/Assumptions!$B$26*CHOOSE(S2,Assumptions!$B$27,Assumptions!$B$28,Assumptions!$B$29)*S4</f>
        <v>1621.62162162162</v>
      </c>
      <c r="T7" s="15" t="n">
        <f aca="false">T6/Assumptions!$B$26*CHOOSE(T2,Assumptions!$B$27,Assumptions!$B$28,Assumptions!$B$29)*T4</f>
        <v>1621.62162162162</v>
      </c>
      <c r="U7" s="15" t="n">
        <f aca="false">U6/Assumptions!$B$26*CHOOSE(U2,Assumptions!$B$27,Assumptions!$B$28,Assumptions!$B$29)*U4</f>
        <v>1621.62162162162</v>
      </c>
      <c r="V7" s="15" t="n">
        <f aca="false">V6/Assumptions!$B$26*CHOOSE(V2,Assumptions!$B$27,Assumptions!$B$28,Assumptions!$B$29)*V4</f>
        <v>1621.62162162162</v>
      </c>
      <c r="W7" s="15" t="n">
        <f aca="false">W6/Assumptions!$B$26*CHOOSE(W2,Assumptions!$B$27,Assumptions!$B$28,Assumptions!$B$29)*W4</f>
        <v>1621.62162162162</v>
      </c>
      <c r="X7" s="15" t="n">
        <f aca="false">X6/Assumptions!$B$26*CHOOSE(X2,Assumptions!$B$27,Assumptions!$B$28,Assumptions!$B$29)*X4</f>
        <v>1621.62162162162</v>
      </c>
      <c r="Y7" s="15" t="n">
        <f aca="false">Y6/Assumptions!$B$26*CHOOSE(Y2,Assumptions!$B$27,Assumptions!$B$28,Assumptions!$B$29)*Y4</f>
        <v>1621.62162162162</v>
      </c>
      <c r="Z7" s="15" t="n">
        <f aca="false">Z6/Assumptions!$B$26*CHOOSE(Z2,Assumptions!$B$27,Assumptions!$B$28,Assumptions!$B$29)*Z4</f>
        <v>1621.62162162162</v>
      </c>
      <c r="AA7" s="15" t="n">
        <f aca="false">AA6/Assumptions!$B$26*CHOOSE(AA2,Assumptions!$B$27,Assumptions!$B$28,Assumptions!$B$29)*AA4</f>
        <v>1621.62162162162</v>
      </c>
      <c r="AB7" s="15" t="n">
        <f aca="false">AB6/Assumptions!$B$26*CHOOSE(AB2,Assumptions!$B$27,Assumptions!$B$28,Assumptions!$B$29)*AB4</f>
        <v>1621.62162162162</v>
      </c>
      <c r="AC7" s="15" t="n">
        <f aca="false">AC6/Assumptions!$B$26*CHOOSE(AC2,Assumptions!$B$27,Assumptions!$B$28,Assumptions!$B$29)*AC4</f>
        <v>1621.62162162162</v>
      </c>
      <c r="AD7" s="15" t="n">
        <f aca="false">AD6/Assumptions!$B$26*CHOOSE(AD2,Assumptions!$B$27,Assumptions!$B$28,Assumptions!$B$29)*AD4</f>
        <v>1621.62162162162</v>
      </c>
      <c r="AE7" s="15" t="n">
        <f aca="false">AE6/Assumptions!$B$26*CHOOSE(AE2,Assumptions!$B$27,Assumptions!$B$28,Assumptions!$B$29)*AE4</f>
        <v>1621.62162162162</v>
      </c>
      <c r="AF7" s="15" t="n">
        <f aca="false">AF6/Assumptions!$B$26*CHOOSE(AF2,Assumptions!$B$27,Assumptions!$B$28,Assumptions!$B$29)*AF4</f>
        <v>1378.37837837838</v>
      </c>
      <c r="AG7" s="15" t="n">
        <f aca="false">AG6/Assumptions!$B$26*CHOOSE(AG2,Assumptions!$B$27,Assumptions!$B$28,Assumptions!$B$29)*AG4</f>
        <v>1378.37837837838</v>
      </c>
      <c r="AH7" s="15" t="n">
        <f aca="false">AH6/Assumptions!$B$26*CHOOSE(AH2,Assumptions!$B$27,Assumptions!$B$28,Assumptions!$B$29)*AH4</f>
        <v>1378.37837837838</v>
      </c>
      <c r="AI7" s="15" t="n">
        <f aca="false">AI6/Assumptions!$B$26*CHOOSE(AI2,Assumptions!$B$27,Assumptions!$B$28,Assumptions!$B$29)*AI4</f>
        <v>1378.37837837838</v>
      </c>
      <c r="AJ7" s="15" t="n">
        <f aca="false">AJ6/Assumptions!$B$26*CHOOSE(AJ2,Assumptions!$B$27,Assumptions!$B$28,Assumptions!$B$29)*AJ4</f>
        <v>1378.37837837838</v>
      </c>
      <c r="AK7" s="15" t="n">
        <f aca="false">AK6/Assumptions!$B$26*CHOOSE(AK2,Assumptions!$B$27,Assumptions!$B$28,Assumptions!$B$29)*AK4</f>
        <v>1378.37837837838</v>
      </c>
    </row>
    <row r="8" customFormat="false" ht="15" hidden="false" customHeight="false" outlineLevel="0" collapsed="false">
      <c r="A8" s="2" t="s">
        <v>135</v>
      </c>
      <c r="B8" s="15" t="n">
        <f aca="false">B7*Assumptions!$B$30</f>
        <v>3963.96396396396</v>
      </c>
      <c r="C8" s="15" t="n">
        <f aca="false">C7*Assumptions!$B$30</f>
        <v>3963.96396396396</v>
      </c>
      <c r="D8" s="15" t="n">
        <f aca="false">D7*Assumptions!$B$30</f>
        <v>3963.96396396396</v>
      </c>
      <c r="E8" s="15" t="n">
        <f aca="false">E7*Assumptions!$B$30</f>
        <v>520.27027027027</v>
      </c>
      <c r="F8" s="15" t="n">
        <f aca="false">F7*Assumptions!$B$30</f>
        <v>520.27027027027</v>
      </c>
      <c r="G8" s="15" t="n">
        <f aca="false">G7*Assumptions!$B$30</f>
        <v>520.27027027027</v>
      </c>
      <c r="H8" s="15" t="n">
        <f aca="false">H7*Assumptions!$B$30</f>
        <v>520.27027027027</v>
      </c>
      <c r="I8" s="15" t="n">
        <f aca="false">I7*Assumptions!$B$30</f>
        <v>520.27027027027</v>
      </c>
      <c r="J8" s="15" t="n">
        <f aca="false">J7*Assumptions!$B$30</f>
        <v>520.27027027027</v>
      </c>
      <c r="K8" s="15" t="n">
        <f aca="false">K7*Assumptions!$B$30</f>
        <v>520.27027027027</v>
      </c>
      <c r="L8" s="15" t="n">
        <f aca="false">L7*Assumptions!$B$30</f>
        <v>520.27027027027</v>
      </c>
      <c r="M8" s="15" t="n">
        <f aca="false">M7*Assumptions!$B$30</f>
        <v>520.27027027027</v>
      </c>
      <c r="N8" s="15" t="n">
        <f aca="false">N7*Assumptions!$B$30</f>
        <v>356.756756756757</v>
      </c>
      <c r="O8" s="15" t="n">
        <f aca="false">O7*Assumptions!$B$30</f>
        <v>356.756756756757</v>
      </c>
      <c r="P8" s="15" t="n">
        <f aca="false">P7*Assumptions!$B$30</f>
        <v>356.756756756757</v>
      </c>
      <c r="Q8" s="15" t="n">
        <f aca="false">Q7*Assumptions!$B$30</f>
        <v>356.756756756757</v>
      </c>
      <c r="R8" s="15" t="n">
        <f aca="false">R7*Assumptions!$B$30</f>
        <v>356.756756756757</v>
      </c>
      <c r="S8" s="15" t="n">
        <f aca="false">S7*Assumptions!$B$30</f>
        <v>356.756756756757</v>
      </c>
      <c r="T8" s="15" t="n">
        <f aca="false">T7*Assumptions!$B$30</f>
        <v>356.756756756757</v>
      </c>
      <c r="U8" s="15" t="n">
        <f aca="false">U7*Assumptions!$B$30</f>
        <v>356.756756756757</v>
      </c>
      <c r="V8" s="15" t="n">
        <f aca="false">V7*Assumptions!$B$30</f>
        <v>356.756756756757</v>
      </c>
      <c r="W8" s="15" t="n">
        <f aca="false">W7*Assumptions!$B$30</f>
        <v>356.756756756757</v>
      </c>
      <c r="X8" s="15" t="n">
        <f aca="false">X7*Assumptions!$B$30</f>
        <v>356.756756756757</v>
      </c>
      <c r="Y8" s="15" t="n">
        <f aca="false">Y7*Assumptions!$B$30</f>
        <v>356.756756756757</v>
      </c>
      <c r="Z8" s="15" t="n">
        <f aca="false">Z7*Assumptions!$B$30</f>
        <v>356.756756756757</v>
      </c>
      <c r="AA8" s="15" t="n">
        <f aca="false">AA7*Assumptions!$B$30</f>
        <v>356.756756756757</v>
      </c>
      <c r="AB8" s="15" t="n">
        <f aca="false">AB7*Assumptions!$B$30</f>
        <v>356.756756756757</v>
      </c>
      <c r="AC8" s="15" t="n">
        <f aca="false">AC7*Assumptions!$B$30</f>
        <v>356.756756756757</v>
      </c>
      <c r="AD8" s="15" t="n">
        <f aca="false">AD7*Assumptions!$B$30</f>
        <v>356.756756756757</v>
      </c>
      <c r="AE8" s="15" t="n">
        <f aca="false">AE7*Assumptions!$B$30</f>
        <v>356.756756756757</v>
      </c>
      <c r="AF8" s="15" t="n">
        <f aca="false">AF7*Assumptions!$B$30</f>
        <v>303.243243243243</v>
      </c>
      <c r="AG8" s="15" t="n">
        <f aca="false">AG7*Assumptions!$B$30</f>
        <v>303.243243243243</v>
      </c>
      <c r="AH8" s="15" t="n">
        <f aca="false">AH7*Assumptions!$B$30</f>
        <v>303.243243243243</v>
      </c>
      <c r="AI8" s="15" t="n">
        <f aca="false">AI7*Assumptions!$B$30</f>
        <v>303.243243243243</v>
      </c>
      <c r="AJ8" s="15" t="n">
        <f aca="false">AJ7*Assumptions!$B$30</f>
        <v>303.243243243243</v>
      </c>
      <c r="AK8" s="15" t="n">
        <f aca="false">AK7*Assumptions!$B$30</f>
        <v>303.243243243243</v>
      </c>
    </row>
    <row r="9" customFormat="false" ht="15" hidden="false" customHeight="false" outlineLevel="0" collapsed="false">
      <c r="A9" s="2" t="s">
        <v>136</v>
      </c>
      <c r="B9" s="15" t="n">
        <f aca="false">B8/Assumptions!$B$6</f>
        <v>1132.56113256113</v>
      </c>
      <c r="C9" s="15" t="n">
        <f aca="false">C8/Assumptions!$B$6</f>
        <v>1132.56113256113</v>
      </c>
      <c r="D9" s="15" t="n">
        <f aca="false">D8/Assumptions!$B$6</f>
        <v>1132.56113256113</v>
      </c>
      <c r="E9" s="15" t="n">
        <f aca="false">E8/Assumptions!$B$6</f>
        <v>148.648648648649</v>
      </c>
      <c r="F9" s="15" t="n">
        <f aca="false">F8/Assumptions!$B$6</f>
        <v>148.648648648649</v>
      </c>
      <c r="G9" s="15" t="n">
        <f aca="false">G8/Assumptions!$B$6</f>
        <v>148.648648648649</v>
      </c>
      <c r="H9" s="15" t="n">
        <f aca="false">H8/Assumptions!$B$6</f>
        <v>148.648648648649</v>
      </c>
      <c r="I9" s="15" t="n">
        <f aca="false">I8/Assumptions!$B$6</f>
        <v>148.648648648649</v>
      </c>
      <c r="J9" s="15" t="n">
        <f aca="false">J8/Assumptions!$B$6</f>
        <v>148.648648648649</v>
      </c>
      <c r="K9" s="15" t="n">
        <f aca="false">K8/Assumptions!$B$6</f>
        <v>148.648648648649</v>
      </c>
      <c r="L9" s="15" t="n">
        <f aca="false">L8/Assumptions!$B$6</f>
        <v>148.648648648649</v>
      </c>
      <c r="M9" s="15" t="n">
        <f aca="false">M8/Assumptions!$B$6</f>
        <v>148.648648648649</v>
      </c>
      <c r="N9" s="15" t="n">
        <f aca="false">N8/Assumptions!$B$6</f>
        <v>101.930501930502</v>
      </c>
      <c r="O9" s="15" t="n">
        <f aca="false">O8/Assumptions!$B$6</f>
        <v>101.930501930502</v>
      </c>
      <c r="P9" s="15" t="n">
        <f aca="false">P8/Assumptions!$B$6</f>
        <v>101.930501930502</v>
      </c>
      <c r="Q9" s="15" t="n">
        <f aca="false">Q8/Assumptions!$B$6</f>
        <v>101.930501930502</v>
      </c>
      <c r="R9" s="15" t="n">
        <f aca="false">R8/Assumptions!$B$6</f>
        <v>101.930501930502</v>
      </c>
      <c r="S9" s="15" t="n">
        <f aca="false">S8/Assumptions!$B$6</f>
        <v>101.930501930502</v>
      </c>
      <c r="T9" s="15" t="n">
        <f aca="false">T8/Assumptions!$B$6</f>
        <v>101.930501930502</v>
      </c>
      <c r="U9" s="15" t="n">
        <f aca="false">U8/Assumptions!$B$6</f>
        <v>101.930501930502</v>
      </c>
      <c r="V9" s="15" t="n">
        <f aca="false">V8/Assumptions!$B$6</f>
        <v>101.930501930502</v>
      </c>
      <c r="W9" s="15" t="n">
        <f aca="false">W8/Assumptions!$B$6</f>
        <v>101.930501930502</v>
      </c>
      <c r="X9" s="15" t="n">
        <f aca="false">X8/Assumptions!$B$6</f>
        <v>101.930501930502</v>
      </c>
      <c r="Y9" s="15" t="n">
        <f aca="false">Y8/Assumptions!$B$6</f>
        <v>101.930501930502</v>
      </c>
      <c r="Z9" s="15" t="n">
        <f aca="false">Z8/Assumptions!$B$6</f>
        <v>101.930501930502</v>
      </c>
      <c r="AA9" s="15" t="n">
        <f aca="false">AA8/Assumptions!$B$6</f>
        <v>101.930501930502</v>
      </c>
      <c r="AB9" s="15" t="n">
        <f aca="false">AB8/Assumptions!$B$6</f>
        <v>101.930501930502</v>
      </c>
      <c r="AC9" s="15" t="n">
        <f aca="false">AC8/Assumptions!$B$6</f>
        <v>101.930501930502</v>
      </c>
      <c r="AD9" s="15" t="n">
        <f aca="false">AD8/Assumptions!$B$6</f>
        <v>101.930501930502</v>
      </c>
      <c r="AE9" s="15" t="n">
        <f aca="false">AE8/Assumptions!$B$6</f>
        <v>101.930501930502</v>
      </c>
      <c r="AF9" s="15" t="n">
        <f aca="false">AF8/Assumptions!$B$6</f>
        <v>86.6409266409266</v>
      </c>
      <c r="AG9" s="15" t="n">
        <f aca="false">AG8/Assumptions!$B$6</f>
        <v>86.6409266409266</v>
      </c>
      <c r="AH9" s="15" t="n">
        <f aca="false">AH8/Assumptions!$B$6</f>
        <v>86.6409266409266</v>
      </c>
      <c r="AI9" s="15" t="n">
        <f aca="false">AI8/Assumptions!$B$6</f>
        <v>86.6409266409266</v>
      </c>
      <c r="AJ9" s="15" t="n">
        <f aca="false">AJ8/Assumptions!$B$6</f>
        <v>86.6409266409266</v>
      </c>
      <c r="AK9" s="15" t="n">
        <f aca="false">AK8/Assumptions!$B$6</f>
        <v>86.6409266409266</v>
      </c>
    </row>
    <row r="10" customFormat="false" ht="15" hidden="false" customHeight="false" outlineLevel="0" collapsed="false">
      <c r="A10" s="2" t="s">
        <v>137</v>
      </c>
      <c r="B10" s="15" t="n">
        <f aca="false">B9</f>
        <v>1132.56113256113</v>
      </c>
      <c r="C10" s="15" t="n">
        <f aca="false">IF(C1&lt;Assumptions!$B$7,B10+C9,IF(C1&lt;=Assumptions!$B$7+1,B10*2/3,0))</f>
        <v>2265.12226512227</v>
      </c>
      <c r="D10" s="15" t="n">
        <f aca="false">IF(D1&lt;Assumptions!$B$7,C10+D9,IF(D1&lt;=Assumptions!$B$7+1,C10*2/3,0))</f>
        <v>3397.6833976834</v>
      </c>
      <c r="E10" s="15" t="n">
        <f aca="false">IF(E1&lt;Assumptions!$B$7,D10+E9,IF(E1&lt;=Assumptions!$B$7+1,D10*2/3,0))</f>
        <v>3546.33204633205</v>
      </c>
      <c r="F10" s="15" t="n">
        <f aca="false">IF(F1&lt;Assumptions!$B$7,E10+F9,IF(F1&lt;=Assumptions!$B$7+1,E10*2/3,0))</f>
        <v>3694.9806949807</v>
      </c>
      <c r="G10" s="15" t="n">
        <f aca="false">IF(G1&lt;Assumptions!$B$7,F10+G9,IF(G1&lt;=Assumptions!$B$7+1,F10*2/3,0))</f>
        <v>3843.62934362934</v>
      </c>
      <c r="H10" s="15" t="n">
        <f aca="false">IF(H1&lt;Assumptions!$B$7,G10+H9,IF(H1&lt;=Assumptions!$B$7+1,G10*2/3,0))</f>
        <v>3992.27799227799</v>
      </c>
      <c r="I10" s="15" t="n">
        <f aca="false">IF(I1&lt;Assumptions!$B$7,H10+I9,IF(I1&lt;=Assumptions!$B$7+1,H10*2/3,0))</f>
        <v>4140.92664092664</v>
      </c>
      <c r="J10" s="15" t="n">
        <f aca="false">IF(J1&lt;Assumptions!$B$7,I10+J9,IF(J1&lt;=Assumptions!$B$7+1,I10*2/3,0))</f>
        <v>4289.57528957529</v>
      </c>
      <c r="K10" s="15" t="n">
        <f aca="false">IF(K1&lt;Assumptions!$B$7,J10+K9,IF(K1&lt;=Assumptions!$B$7+1,J10*2/3,0))</f>
        <v>2859.71685971686</v>
      </c>
      <c r="L10" s="15" t="n">
        <f aca="false">IF(L1&lt;Assumptions!$B$7,K10+L9,IF(L1&lt;=Assumptions!$B$7+1,K10*2/3,0))</f>
        <v>1906.47790647791</v>
      </c>
      <c r="M10" s="15" t="n">
        <f aca="false">IF(M1&lt;Assumptions!$B$7,L10+M9,IF(M1&lt;=Assumptions!$B$7+1,L10*2/3,0))</f>
        <v>0</v>
      </c>
      <c r="N10" s="15" t="n">
        <f aca="false">IF(N1&lt;Assumptions!$B$7,M10+N9,IF(N1&lt;=Assumptions!$B$7+1,M10*2/3,0))</f>
        <v>0</v>
      </c>
      <c r="O10" s="15" t="n">
        <f aca="false">IF(O1&lt;Assumptions!$B$7,N10+O9,IF(O1&lt;=Assumptions!$B$7+1,N10*2/3,0))</f>
        <v>0</v>
      </c>
      <c r="P10" s="15" t="n">
        <f aca="false">IF(P1&lt;Assumptions!$B$7,O10+P9,IF(P1&lt;=Assumptions!$B$7+1,O10*2/3,0))</f>
        <v>0</v>
      </c>
      <c r="Q10" s="15" t="n">
        <f aca="false">IF(Q1&lt;Assumptions!$B$7,P10+Q9,IF(Q1&lt;=Assumptions!$B$7+1,P10*2/3,0))</f>
        <v>0</v>
      </c>
      <c r="R10" s="15" t="n">
        <f aca="false">IF(R1&lt;Assumptions!$B$7,Q10+R9,IF(R1&lt;=Assumptions!$B$7+1,Q10*2/3,0))</f>
        <v>0</v>
      </c>
      <c r="S10" s="15" t="n">
        <f aca="false">IF(S1&lt;Assumptions!$B$7,R10+S9,IF(S1&lt;=Assumptions!$B$7+1,R10*2/3,0))</f>
        <v>0</v>
      </c>
      <c r="T10" s="15" t="n">
        <f aca="false">IF(T1&lt;Assumptions!$B$7,S10+T9,IF(T1&lt;=Assumptions!$B$7+1,S10*2/3,0))</f>
        <v>0</v>
      </c>
      <c r="U10" s="15" t="n">
        <f aca="false">IF(U1&lt;Assumptions!$B$7,T10+U9,IF(U1&lt;=Assumptions!$B$7+1,T10*2/3,0))</f>
        <v>0</v>
      </c>
      <c r="V10" s="15" t="n">
        <f aca="false">IF(V1&lt;Assumptions!$B$7,U10+V9,IF(V1&lt;=Assumptions!$B$7+1,U10*2/3,0))</f>
        <v>0</v>
      </c>
      <c r="W10" s="15" t="n">
        <f aca="false">IF(W1&lt;Assumptions!$B$7,V10+W9,IF(W1&lt;=Assumptions!$B$7+1,V10*2/3,0))</f>
        <v>0</v>
      </c>
      <c r="X10" s="15" t="n">
        <f aca="false">IF(X1&lt;Assumptions!$B$7,W10+X9,IF(X1&lt;=Assumptions!$B$7+1,W10*2/3,0))</f>
        <v>0</v>
      </c>
      <c r="Y10" s="15" t="n">
        <f aca="false">IF(Y1&lt;Assumptions!$B$7,X10+Y9,IF(Y1&lt;=Assumptions!$B$7+1,X10*2/3,0))</f>
        <v>0</v>
      </c>
      <c r="Z10" s="15" t="n">
        <f aca="false">IF(Z1&lt;Assumptions!$B$7,Y10+Z9,IF(Z1&lt;=Assumptions!$B$7+1,Y10*2/3,0))</f>
        <v>0</v>
      </c>
      <c r="AA10" s="15" t="n">
        <f aca="false">IF(AA1&lt;Assumptions!$B$7,Z10+AA9,IF(AA1&lt;=Assumptions!$B$7+1,Z10*2/3,0))</f>
        <v>0</v>
      </c>
      <c r="AB10" s="15" t="n">
        <f aca="false">IF(AB1&lt;Assumptions!$B$7,AA10+AB9,IF(AB1&lt;=Assumptions!$B$7+1,AA10*2/3,0))</f>
        <v>0</v>
      </c>
      <c r="AC10" s="15" t="n">
        <f aca="false">IF(AC1&lt;Assumptions!$B$7,AB10+AC9,IF(AC1&lt;=Assumptions!$B$7+1,AB10*2/3,0))</f>
        <v>0</v>
      </c>
      <c r="AD10" s="15" t="n">
        <f aca="false">IF(AD1&lt;Assumptions!$B$7,AC10+AD9,IF(AD1&lt;=Assumptions!$B$7+1,AC10*2/3,0))</f>
        <v>0</v>
      </c>
      <c r="AE10" s="15" t="n">
        <f aca="false">IF(AE1&lt;Assumptions!$B$7,AD10+AE9,IF(AE1&lt;=Assumptions!$B$7+1,AD10*2/3,0))</f>
        <v>0</v>
      </c>
      <c r="AF10" s="15" t="n">
        <f aca="false">IF(AF1&lt;Assumptions!$B$7,AE10+AF9,IF(AF1&lt;=Assumptions!$B$7+1,AE10*2/3,0))</f>
        <v>0</v>
      </c>
      <c r="AG10" s="15" t="n">
        <f aca="false">IF(AG1&lt;Assumptions!$B$7,AF10+AG9,IF(AG1&lt;=Assumptions!$B$7+1,AF10*2/3,0))</f>
        <v>0</v>
      </c>
      <c r="AH10" s="15" t="n">
        <f aca="false">IF(AH1&lt;Assumptions!$B$7,AG10+AH9,IF(AH1&lt;=Assumptions!$B$7+1,AG10*2/3,0))</f>
        <v>0</v>
      </c>
      <c r="AI10" s="15" t="n">
        <f aca="false">IF(AI1&lt;Assumptions!$B$7,AH10+AI9,IF(AI1&lt;=Assumptions!$B$7+1,AH10*2/3,0))</f>
        <v>0</v>
      </c>
      <c r="AJ10" s="15" t="n">
        <f aca="false">IF(AJ1&lt;Assumptions!$B$7,AI10+AJ9,IF(AJ1&lt;=Assumptions!$B$7+1,AI10*2/3,0))</f>
        <v>0</v>
      </c>
      <c r="AK10" s="15" t="n">
        <f aca="false">IF(AK1&lt;Assumptions!$B$7,AJ10+AK9,IF(AK1&lt;=Assumptions!$B$7+1,AJ10*2/3,0))</f>
        <v>0</v>
      </c>
    </row>
    <row r="11" customFormat="false" ht="15" hidden="false" customHeight="false" outlineLevel="0" collapsed="false">
      <c r="A11" s="2" t="s">
        <v>138</v>
      </c>
      <c r="B11" s="15" t="n">
        <f aca="false">0</f>
        <v>0</v>
      </c>
      <c r="C11" s="15" t="n">
        <f aca="false">IF(C1&lt;Assumptions!$B$7,0,IF(C1&lt;=Assumptions!$B$7+1,B10/3,IF(C1=Assumptions!$B$7+2,B10,0)))</f>
        <v>0</v>
      </c>
      <c r="D11" s="15" t="n">
        <f aca="false">IF(D1&lt;Assumptions!$B$7,0,IF(D1&lt;=Assumptions!$B$7+1,C10/3,IF(D1=Assumptions!$B$7+2,C10,0)))</f>
        <v>0</v>
      </c>
      <c r="E11" s="15" t="n">
        <f aca="false">IF(E1&lt;Assumptions!$B$7,0,IF(E1&lt;=Assumptions!$B$7+1,D10/3,IF(E1=Assumptions!$B$7+2,D10,0)))</f>
        <v>0</v>
      </c>
      <c r="F11" s="15" t="n">
        <f aca="false">IF(F1&lt;Assumptions!$B$7,0,IF(F1&lt;=Assumptions!$B$7+1,E10/3,IF(F1=Assumptions!$B$7+2,E10,0)))</f>
        <v>0</v>
      </c>
      <c r="G11" s="15" t="n">
        <f aca="false">IF(G1&lt;Assumptions!$B$7,0,IF(G1&lt;=Assumptions!$B$7+1,F10/3,IF(G1=Assumptions!$B$7+2,F10,0)))</f>
        <v>0</v>
      </c>
      <c r="H11" s="15" t="n">
        <f aca="false">IF(H1&lt;Assumptions!$B$7,0,IF(H1&lt;=Assumptions!$B$7+1,G10/3,IF(H1=Assumptions!$B$7+2,G10,0)))</f>
        <v>0</v>
      </c>
      <c r="I11" s="15" t="n">
        <f aca="false">IF(I1&lt;Assumptions!$B$7,0,IF(I1&lt;=Assumptions!$B$7+1,H10/3,IF(I1=Assumptions!$B$7+2,H10,0)))</f>
        <v>0</v>
      </c>
      <c r="J11" s="15" t="n">
        <f aca="false">IF(J1&lt;Assumptions!$B$7,0,IF(J1&lt;=Assumptions!$B$7+1,I10/3,IF(J1=Assumptions!$B$7+2,I10,0)))</f>
        <v>0</v>
      </c>
      <c r="K11" s="15" t="n">
        <f aca="false">IF(K1&lt;Assumptions!$B$7,0,IF(K1&lt;=Assumptions!$B$7+1,J10/3,IF(K1=Assumptions!$B$7+2,J10,0)))</f>
        <v>1429.85842985843</v>
      </c>
      <c r="L11" s="15" t="n">
        <f aca="false">IF(L1&lt;Assumptions!$B$7,0,IF(L1&lt;=Assumptions!$B$7+1,K10/3,IF(L1=Assumptions!$B$7+2,K10,0)))</f>
        <v>953.238953238953</v>
      </c>
      <c r="M11" s="15" t="n">
        <f aca="false">IF(M1&lt;Assumptions!$B$7,0,IF(M1&lt;=Assumptions!$B$7+1,L10/3,IF(M1=Assumptions!$B$7+2,L10,0)))</f>
        <v>1906.47790647791</v>
      </c>
      <c r="N11" s="15" t="n">
        <f aca="false">IF(N1&lt;Assumptions!$B$7,0,IF(N1&lt;=Assumptions!$B$7+1,M10/3,IF(N1=Assumptions!$B$7+2,M10,0)))</f>
        <v>0</v>
      </c>
      <c r="O11" s="15" t="n">
        <f aca="false">IF(O1&lt;Assumptions!$B$7,0,IF(O1&lt;=Assumptions!$B$7+1,N10/3,IF(O1=Assumptions!$B$7+2,N10,0)))</f>
        <v>0</v>
      </c>
      <c r="P11" s="15" t="n">
        <f aca="false">IF(P1&lt;Assumptions!$B$7,0,IF(P1&lt;=Assumptions!$B$7+1,O10/3,IF(P1=Assumptions!$B$7+2,O10,0)))</f>
        <v>0</v>
      </c>
      <c r="Q11" s="15" t="n">
        <f aca="false">IF(Q1&lt;Assumptions!$B$7,0,IF(Q1&lt;=Assumptions!$B$7+1,P10/3,IF(Q1=Assumptions!$B$7+2,P10,0)))</f>
        <v>0</v>
      </c>
      <c r="R11" s="15" t="n">
        <f aca="false">IF(R1&lt;Assumptions!$B$7,0,IF(R1&lt;=Assumptions!$B$7+1,Q10/3,IF(R1=Assumptions!$B$7+2,Q10,0)))</f>
        <v>0</v>
      </c>
      <c r="S11" s="15" t="n">
        <f aca="false">IF(S1&lt;Assumptions!$B$7,0,IF(S1&lt;=Assumptions!$B$7+1,R10/3,IF(S1=Assumptions!$B$7+2,R10,0)))</f>
        <v>0</v>
      </c>
      <c r="T11" s="15" t="n">
        <f aca="false">IF(T1&lt;Assumptions!$B$7,0,IF(T1&lt;=Assumptions!$B$7+1,S10/3,IF(T1=Assumptions!$B$7+2,S10,0)))</f>
        <v>0</v>
      </c>
      <c r="U11" s="15" t="n">
        <f aca="false">IF(U1&lt;Assumptions!$B$7,0,IF(U1&lt;=Assumptions!$B$7+1,T10/3,IF(U1=Assumptions!$B$7+2,T10,0)))</f>
        <v>0</v>
      </c>
      <c r="V11" s="15" t="n">
        <f aca="false">IF(V1&lt;Assumptions!$B$7,0,IF(V1&lt;=Assumptions!$B$7+1,U10/3,IF(V1=Assumptions!$B$7+2,U10,0)))</f>
        <v>0</v>
      </c>
      <c r="W11" s="15" t="n">
        <f aca="false">IF(W1&lt;Assumptions!$B$7,0,IF(W1&lt;=Assumptions!$B$7+1,V10/3,IF(W1=Assumptions!$B$7+2,V10,0)))</f>
        <v>0</v>
      </c>
      <c r="X11" s="15" t="n">
        <f aca="false">IF(X1&lt;Assumptions!$B$7,0,IF(X1&lt;=Assumptions!$B$7+1,W10/3,IF(X1=Assumptions!$B$7+2,W10,0)))</f>
        <v>0</v>
      </c>
      <c r="Y11" s="15" t="n">
        <f aca="false">IF(Y1&lt;Assumptions!$B$7,0,IF(Y1&lt;=Assumptions!$B$7+1,X10/3,IF(Y1=Assumptions!$B$7+2,X10,0)))</f>
        <v>0</v>
      </c>
      <c r="Z11" s="15" t="n">
        <f aca="false">IF(Z1&lt;Assumptions!$B$7,0,IF(Z1&lt;=Assumptions!$B$7+1,Y10/3,IF(Z1=Assumptions!$B$7+2,Y10,0)))</f>
        <v>0</v>
      </c>
      <c r="AA11" s="15" t="n">
        <f aca="false">IF(AA1&lt;Assumptions!$B$7,0,IF(AA1&lt;=Assumptions!$B$7+1,Z10/3,IF(AA1=Assumptions!$B$7+2,Z10,0)))</f>
        <v>0</v>
      </c>
      <c r="AB11" s="15" t="n">
        <f aca="false">IF(AB1&lt;Assumptions!$B$7,0,IF(AB1&lt;=Assumptions!$B$7+1,AA10/3,IF(AB1=Assumptions!$B$7+2,AA10,0)))</f>
        <v>0</v>
      </c>
      <c r="AC11" s="15" t="n">
        <f aca="false">IF(AC1&lt;Assumptions!$B$7,0,IF(AC1&lt;=Assumptions!$B$7+1,AB10/3,IF(AC1=Assumptions!$B$7+2,AB10,0)))</f>
        <v>0</v>
      </c>
      <c r="AD11" s="15" t="n">
        <f aca="false">IF(AD1&lt;Assumptions!$B$7,0,IF(AD1&lt;=Assumptions!$B$7+1,AC10/3,IF(AD1=Assumptions!$B$7+2,AC10,0)))</f>
        <v>0</v>
      </c>
      <c r="AE11" s="15" t="n">
        <f aca="false">IF(AE1&lt;Assumptions!$B$7,0,IF(AE1&lt;=Assumptions!$B$7+1,AD10/3,IF(AE1=Assumptions!$B$7+2,AD10,0)))</f>
        <v>0</v>
      </c>
      <c r="AF11" s="15" t="n">
        <f aca="false">IF(AF1&lt;Assumptions!$B$7,0,IF(AF1&lt;=Assumptions!$B$7+1,AE10/3,IF(AF1=Assumptions!$B$7+2,AE10,0)))</f>
        <v>0</v>
      </c>
      <c r="AG11" s="15" t="n">
        <f aca="false">IF(AG1&lt;Assumptions!$B$7,0,IF(AG1&lt;=Assumptions!$B$7+1,AF10/3,IF(AG1=Assumptions!$B$7+2,AF10,0)))</f>
        <v>0</v>
      </c>
      <c r="AH11" s="15" t="n">
        <f aca="false">IF(AH1&lt;Assumptions!$B$7,0,IF(AH1&lt;=Assumptions!$B$7+1,AG10/3,IF(AH1=Assumptions!$B$7+2,AG10,0)))</f>
        <v>0</v>
      </c>
      <c r="AI11" s="15" t="n">
        <f aca="false">IF(AI1&lt;Assumptions!$B$7,0,IF(AI1&lt;=Assumptions!$B$7+1,AH10/3,IF(AI1=Assumptions!$B$7+2,AH10,0)))</f>
        <v>0</v>
      </c>
      <c r="AJ11" s="15" t="n">
        <f aca="false">IF(AJ1&lt;Assumptions!$B$7,0,IF(AJ1&lt;=Assumptions!$B$7+1,AI10/3,IF(AJ1=Assumptions!$B$7+2,AI10,0)))</f>
        <v>0</v>
      </c>
      <c r="AK11" s="15" t="n">
        <f aca="false">IF(AK1&lt;Assumptions!$B$7,0,IF(AK1&lt;=Assumptions!$B$7+1,AJ10/3,IF(AK1=Assumptions!$B$7+2,AJ10,0)))</f>
        <v>0</v>
      </c>
    </row>
    <row r="12" customFormat="false" ht="15" hidden="false" customHeight="false" outlineLevel="0" collapsed="false">
      <c r="A12" s="2" t="s">
        <v>139</v>
      </c>
      <c r="B12" s="15" t="n">
        <f aca="false">B11*Assumptions!$B$31+IF(B1&gt;=Assumptions!$B$7,B9*Assumptions!$B$32,0)</f>
        <v>0</v>
      </c>
      <c r="C12" s="15" t="n">
        <f aca="false">C11*Assumptions!$B$31+IF(C1&gt;=Assumptions!$B$7,C9*Assumptions!$B$32,0)</f>
        <v>0</v>
      </c>
      <c r="D12" s="15" t="n">
        <f aca="false">D11*Assumptions!$B$31+IF(D1&gt;=Assumptions!$B$7,D9*Assumptions!$B$32,0)</f>
        <v>0</v>
      </c>
      <c r="E12" s="15" t="n">
        <f aca="false">E11*Assumptions!$B$31+IF(E1&gt;=Assumptions!$B$7,E9*Assumptions!$B$32,0)</f>
        <v>0</v>
      </c>
      <c r="F12" s="15" t="n">
        <f aca="false">F11*Assumptions!$B$31+IF(F1&gt;=Assumptions!$B$7,F9*Assumptions!$B$32,0)</f>
        <v>0</v>
      </c>
      <c r="G12" s="15" t="n">
        <f aca="false">G11*Assumptions!$B$31+IF(G1&gt;=Assumptions!$B$7,G9*Assumptions!$B$32,0)</f>
        <v>0</v>
      </c>
      <c r="H12" s="15" t="n">
        <f aca="false">H11*Assumptions!$B$31+IF(H1&gt;=Assumptions!$B$7,H9*Assumptions!$B$32,0)</f>
        <v>0</v>
      </c>
      <c r="I12" s="15" t="n">
        <f aca="false">I11*Assumptions!$B$31+IF(I1&gt;=Assumptions!$B$7,I9*Assumptions!$B$32,0)</f>
        <v>0</v>
      </c>
      <c r="J12" s="15" t="n">
        <f aca="false">J11*Assumptions!$B$31+IF(J1&gt;=Assumptions!$B$7,J9*Assumptions!$B$32,0)</f>
        <v>0</v>
      </c>
      <c r="K12" s="15" t="n">
        <f aca="false">K11*Assumptions!$B$31+IF(K1&gt;=Assumptions!$B$7,K9*Assumptions!$B$32,0)</f>
        <v>50.3281853281853</v>
      </c>
      <c r="L12" s="15" t="n">
        <f aca="false">L11*Assumptions!$B$31+IF(L1&gt;=Assumptions!$B$7,L9*Assumptions!$B$32,0)</f>
        <v>36.029601029601</v>
      </c>
      <c r="M12" s="15" t="n">
        <f aca="false">M11*Assumptions!$B$31+IF(M1&gt;=Assumptions!$B$7,M9*Assumptions!$B$32,0)</f>
        <v>64.6267696267696</v>
      </c>
      <c r="N12" s="15" t="n">
        <f aca="false">N11*Assumptions!$B$31+IF(N1&gt;=Assumptions!$B$7,N9*Assumptions!$B$32,0)</f>
        <v>5.0965250965251</v>
      </c>
      <c r="O12" s="15" t="n">
        <f aca="false">O11*Assumptions!$B$31+IF(O1&gt;=Assumptions!$B$7,O9*Assumptions!$B$32,0)</f>
        <v>5.0965250965251</v>
      </c>
      <c r="P12" s="15" t="n">
        <f aca="false">P11*Assumptions!$B$31+IF(P1&gt;=Assumptions!$B$7,P9*Assumptions!$B$32,0)</f>
        <v>5.0965250965251</v>
      </c>
      <c r="Q12" s="15" t="n">
        <f aca="false">Q11*Assumptions!$B$31+IF(Q1&gt;=Assumptions!$B$7,Q9*Assumptions!$B$32,0)</f>
        <v>5.0965250965251</v>
      </c>
      <c r="R12" s="15" t="n">
        <f aca="false">R11*Assumptions!$B$31+IF(R1&gt;=Assumptions!$B$7,R9*Assumptions!$B$32,0)</f>
        <v>5.0965250965251</v>
      </c>
      <c r="S12" s="15" t="n">
        <f aca="false">S11*Assumptions!$B$31+IF(S1&gt;=Assumptions!$B$7,S9*Assumptions!$B$32,0)</f>
        <v>5.0965250965251</v>
      </c>
      <c r="T12" s="15" t="n">
        <f aca="false">T11*Assumptions!$B$31+IF(T1&gt;=Assumptions!$B$7,T9*Assumptions!$B$32,0)</f>
        <v>5.0965250965251</v>
      </c>
      <c r="U12" s="15" t="n">
        <f aca="false">U11*Assumptions!$B$31+IF(U1&gt;=Assumptions!$B$7,U9*Assumptions!$B$32,0)</f>
        <v>5.0965250965251</v>
      </c>
      <c r="V12" s="15" t="n">
        <f aca="false">V11*Assumptions!$B$31+IF(V1&gt;=Assumptions!$B$7,V9*Assumptions!$B$32,0)</f>
        <v>5.0965250965251</v>
      </c>
      <c r="W12" s="15" t="n">
        <f aca="false">W11*Assumptions!$B$31+IF(W1&gt;=Assumptions!$B$7,W9*Assumptions!$B$32,0)</f>
        <v>5.0965250965251</v>
      </c>
      <c r="X12" s="15" t="n">
        <f aca="false">X11*Assumptions!$B$31+IF(X1&gt;=Assumptions!$B$7,X9*Assumptions!$B$32,0)</f>
        <v>5.0965250965251</v>
      </c>
      <c r="Y12" s="15" t="n">
        <f aca="false">Y11*Assumptions!$B$31+IF(Y1&gt;=Assumptions!$B$7,Y9*Assumptions!$B$32,0)</f>
        <v>5.0965250965251</v>
      </c>
      <c r="Z12" s="15" t="n">
        <f aca="false">Z11*Assumptions!$B$31+IF(Z1&gt;=Assumptions!$B$7,Z9*Assumptions!$B$32,0)</f>
        <v>5.0965250965251</v>
      </c>
      <c r="AA12" s="15" t="n">
        <f aca="false">AA11*Assumptions!$B$31+IF(AA1&gt;=Assumptions!$B$7,AA9*Assumptions!$B$32,0)</f>
        <v>5.0965250965251</v>
      </c>
      <c r="AB12" s="15" t="n">
        <f aca="false">AB11*Assumptions!$B$31+IF(AB1&gt;=Assumptions!$B$7,AB9*Assumptions!$B$32,0)</f>
        <v>5.0965250965251</v>
      </c>
      <c r="AC12" s="15" t="n">
        <f aca="false">AC11*Assumptions!$B$31+IF(AC1&gt;=Assumptions!$B$7,AC9*Assumptions!$B$32,0)</f>
        <v>5.0965250965251</v>
      </c>
      <c r="AD12" s="15" t="n">
        <f aca="false">AD11*Assumptions!$B$31+IF(AD1&gt;=Assumptions!$B$7,AD9*Assumptions!$B$32,0)</f>
        <v>5.0965250965251</v>
      </c>
      <c r="AE12" s="15" t="n">
        <f aca="false">AE11*Assumptions!$B$31+IF(AE1&gt;=Assumptions!$B$7,AE9*Assumptions!$B$32,0)</f>
        <v>5.0965250965251</v>
      </c>
      <c r="AF12" s="15" t="n">
        <f aca="false">AF11*Assumptions!$B$31+IF(AF1&gt;=Assumptions!$B$7,AF9*Assumptions!$B$32,0)</f>
        <v>4.33204633204633</v>
      </c>
      <c r="AG12" s="15" t="n">
        <f aca="false">AG11*Assumptions!$B$31+IF(AG1&gt;=Assumptions!$B$7,AG9*Assumptions!$B$32,0)</f>
        <v>4.33204633204633</v>
      </c>
      <c r="AH12" s="15" t="n">
        <f aca="false">AH11*Assumptions!$B$31+IF(AH1&gt;=Assumptions!$B$7,AH9*Assumptions!$B$32,0)</f>
        <v>4.33204633204633</v>
      </c>
      <c r="AI12" s="15" t="n">
        <f aca="false">AI11*Assumptions!$B$31+IF(AI1&gt;=Assumptions!$B$7,AI9*Assumptions!$B$32,0)</f>
        <v>4.33204633204633</v>
      </c>
      <c r="AJ12" s="15" t="n">
        <f aca="false">AJ11*Assumptions!$B$31+IF(AJ1&gt;=Assumptions!$B$7,AJ9*Assumptions!$B$32,0)</f>
        <v>4.33204633204633</v>
      </c>
      <c r="AK12" s="15" t="n">
        <f aca="false">AK11*Assumptions!$B$31+IF(AK1&gt;=Assumptions!$B$7,AK9*Assumptions!$B$32,0)</f>
        <v>4.33204633204633</v>
      </c>
    </row>
    <row r="13" customFormat="false" ht="15" hidden="false" customHeight="false" outlineLevel="0" collapsed="false">
      <c r="A13" s="2" t="s">
        <v>140</v>
      </c>
      <c r="B13" s="19" t="n">
        <f aca="false">MIN(Assumptions!$B$33,CHOOSE(B2,Assumptions!$B$58,Assumptions!$B$59,Assumptions!$B$60)/Assumptions!$B$5)/12</f>
        <v>0.0416666666666667</v>
      </c>
      <c r="C13" s="19" t="n">
        <f aca="false">MIN(Assumptions!$B$33,CHOOSE(C2,Assumptions!$B$58,Assumptions!$B$59,Assumptions!$B$60)/Assumptions!$B$5)/12</f>
        <v>0.0416666666666667</v>
      </c>
      <c r="D13" s="19" t="n">
        <f aca="false">MIN(Assumptions!$B$33,CHOOSE(D2,Assumptions!$B$58,Assumptions!$B$59,Assumptions!$B$60)/Assumptions!$B$5)/12</f>
        <v>0.0416666666666667</v>
      </c>
      <c r="E13" s="19" t="n">
        <f aca="false">MIN(Assumptions!$B$33,CHOOSE(E2,Assumptions!$B$58,Assumptions!$B$59,Assumptions!$B$60)/Assumptions!$B$5)/12</f>
        <v>0.0416666666666667</v>
      </c>
      <c r="F13" s="19" t="n">
        <f aca="false">MIN(Assumptions!$B$33,CHOOSE(F2,Assumptions!$B$58,Assumptions!$B$59,Assumptions!$B$60)/Assumptions!$B$5)/12</f>
        <v>0.0416666666666667</v>
      </c>
      <c r="G13" s="19" t="n">
        <f aca="false">MIN(Assumptions!$B$33,CHOOSE(G2,Assumptions!$B$58,Assumptions!$B$59,Assumptions!$B$60)/Assumptions!$B$5)/12</f>
        <v>0.0416666666666667</v>
      </c>
      <c r="H13" s="19" t="n">
        <f aca="false">MIN(Assumptions!$B$33,CHOOSE(H2,Assumptions!$B$58,Assumptions!$B$59,Assumptions!$B$60)/Assumptions!$B$5)/12</f>
        <v>0.0416666666666667</v>
      </c>
      <c r="I13" s="19" t="n">
        <f aca="false">MIN(Assumptions!$B$33,CHOOSE(I2,Assumptions!$B$58,Assumptions!$B$59,Assumptions!$B$60)/Assumptions!$B$5)/12</f>
        <v>0.0416666666666667</v>
      </c>
      <c r="J13" s="19" t="n">
        <f aca="false">MIN(Assumptions!$B$33,CHOOSE(J2,Assumptions!$B$58,Assumptions!$B$59,Assumptions!$B$60)/Assumptions!$B$5)/12</f>
        <v>0.0416666666666667</v>
      </c>
      <c r="K13" s="19" t="n">
        <f aca="false">MIN(Assumptions!$B$33,CHOOSE(K2,Assumptions!$B$58,Assumptions!$B$59,Assumptions!$B$60)/Assumptions!$B$5)/12</f>
        <v>0.0416666666666667</v>
      </c>
      <c r="L13" s="19" t="n">
        <f aca="false">MIN(Assumptions!$B$33,CHOOSE(L2,Assumptions!$B$58,Assumptions!$B$59,Assumptions!$B$60)/Assumptions!$B$5)/12</f>
        <v>0.0416666666666667</v>
      </c>
      <c r="M13" s="19" t="n">
        <f aca="false">MIN(Assumptions!$B$33,CHOOSE(M2,Assumptions!$B$58,Assumptions!$B$59,Assumptions!$B$60)/Assumptions!$B$5)/12</f>
        <v>0.0416666666666667</v>
      </c>
      <c r="N13" s="19" t="n">
        <f aca="false">MIN(Assumptions!$B$33,CHOOSE(N2,Assumptions!$B$58,Assumptions!$B$59,Assumptions!$B$60)/Assumptions!$B$5)/12</f>
        <v>0.025</v>
      </c>
      <c r="O13" s="19" t="n">
        <f aca="false">MIN(Assumptions!$B$33,CHOOSE(O2,Assumptions!$B$58,Assumptions!$B$59,Assumptions!$B$60)/Assumptions!$B$5)/12</f>
        <v>0.025</v>
      </c>
      <c r="P13" s="19" t="n">
        <f aca="false">MIN(Assumptions!$B$33,CHOOSE(P2,Assumptions!$B$58,Assumptions!$B$59,Assumptions!$B$60)/Assumptions!$B$5)/12</f>
        <v>0.025</v>
      </c>
      <c r="Q13" s="19" t="n">
        <f aca="false">MIN(Assumptions!$B$33,CHOOSE(Q2,Assumptions!$B$58,Assumptions!$B$59,Assumptions!$B$60)/Assumptions!$B$5)/12</f>
        <v>0.025</v>
      </c>
      <c r="R13" s="19" t="n">
        <f aca="false">MIN(Assumptions!$B$33,CHOOSE(R2,Assumptions!$B$58,Assumptions!$B$59,Assumptions!$B$60)/Assumptions!$B$5)/12</f>
        <v>0.025</v>
      </c>
      <c r="S13" s="19" t="n">
        <f aca="false">MIN(Assumptions!$B$33,CHOOSE(S2,Assumptions!$B$58,Assumptions!$B$59,Assumptions!$B$60)/Assumptions!$B$5)/12</f>
        <v>0.025</v>
      </c>
      <c r="T13" s="19" t="n">
        <f aca="false">MIN(Assumptions!$B$33,CHOOSE(T2,Assumptions!$B$58,Assumptions!$B$59,Assumptions!$B$60)/Assumptions!$B$5)/12</f>
        <v>0.025</v>
      </c>
      <c r="U13" s="19" t="n">
        <f aca="false">MIN(Assumptions!$B$33,CHOOSE(U2,Assumptions!$B$58,Assumptions!$B$59,Assumptions!$B$60)/Assumptions!$B$5)/12</f>
        <v>0.025</v>
      </c>
      <c r="V13" s="19" t="n">
        <f aca="false">MIN(Assumptions!$B$33,CHOOSE(V2,Assumptions!$B$58,Assumptions!$B$59,Assumptions!$B$60)/Assumptions!$B$5)/12</f>
        <v>0.025</v>
      </c>
      <c r="W13" s="19" t="n">
        <f aca="false">MIN(Assumptions!$B$33,CHOOSE(W2,Assumptions!$B$58,Assumptions!$B$59,Assumptions!$B$60)/Assumptions!$B$5)/12</f>
        <v>0.025</v>
      </c>
      <c r="X13" s="19" t="n">
        <f aca="false">MIN(Assumptions!$B$33,CHOOSE(X2,Assumptions!$B$58,Assumptions!$B$59,Assumptions!$B$60)/Assumptions!$B$5)/12</f>
        <v>0.025</v>
      </c>
      <c r="Y13" s="19" t="n">
        <f aca="false">MIN(Assumptions!$B$33,CHOOSE(Y2,Assumptions!$B$58,Assumptions!$B$59,Assumptions!$B$60)/Assumptions!$B$5)/12</f>
        <v>0.025</v>
      </c>
      <c r="Z13" s="19" t="n">
        <f aca="false">MIN(Assumptions!$B$33,CHOOSE(Z2,Assumptions!$B$58,Assumptions!$B$59,Assumptions!$B$60)/Assumptions!$B$5)/12</f>
        <v>0.025</v>
      </c>
      <c r="AA13" s="19" t="n">
        <f aca="false">MIN(Assumptions!$B$33,CHOOSE(AA2,Assumptions!$B$58,Assumptions!$B$59,Assumptions!$B$60)/Assumptions!$B$5)/12</f>
        <v>0.025</v>
      </c>
      <c r="AB13" s="19" t="n">
        <f aca="false">MIN(Assumptions!$B$33,CHOOSE(AB2,Assumptions!$B$58,Assumptions!$B$59,Assumptions!$B$60)/Assumptions!$B$5)/12</f>
        <v>0.025</v>
      </c>
      <c r="AC13" s="19" t="n">
        <f aca="false">MIN(Assumptions!$B$33,CHOOSE(AC2,Assumptions!$B$58,Assumptions!$B$59,Assumptions!$B$60)/Assumptions!$B$5)/12</f>
        <v>0.025</v>
      </c>
      <c r="AD13" s="19" t="n">
        <f aca="false">MIN(Assumptions!$B$33,CHOOSE(AD2,Assumptions!$B$58,Assumptions!$B$59,Assumptions!$B$60)/Assumptions!$B$5)/12</f>
        <v>0.025</v>
      </c>
      <c r="AE13" s="19" t="n">
        <f aca="false">MIN(Assumptions!$B$33,CHOOSE(AE2,Assumptions!$B$58,Assumptions!$B$59,Assumptions!$B$60)/Assumptions!$B$5)/12</f>
        <v>0.025</v>
      </c>
      <c r="AF13" s="19" t="n">
        <f aca="false">MIN(Assumptions!$B$33,CHOOSE(AF2,Assumptions!$B$58,Assumptions!$B$59,Assumptions!$B$60)/Assumptions!$B$5)/12</f>
        <v>0.025</v>
      </c>
      <c r="AG13" s="19" t="n">
        <f aca="false">MIN(Assumptions!$B$33,CHOOSE(AG2,Assumptions!$B$58,Assumptions!$B$59,Assumptions!$B$60)/Assumptions!$B$5)/12</f>
        <v>0.025</v>
      </c>
      <c r="AH13" s="19" t="n">
        <f aca="false">MIN(Assumptions!$B$33,CHOOSE(AH2,Assumptions!$B$58,Assumptions!$B$59,Assumptions!$B$60)/Assumptions!$B$5)/12</f>
        <v>0.025</v>
      </c>
      <c r="AI13" s="19" t="n">
        <f aca="false">MIN(Assumptions!$B$33,CHOOSE(AI2,Assumptions!$B$58,Assumptions!$B$59,Assumptions!$B$60)/Assumptions!$B$5)/12</f>
        <v>0.025</v>
      </c>
      <c r="AJ13" s="19" t="n">
        <f aca="false">MIN(Assumptions!$B$33,CHOOSE(AJ2,Assumptions!$B$58,Assumptions!$B$59,Assumptions!$B$60)/Assumptions!$B$5)/12</f>
        <v>0.025</v>
      </c>
      <c r="AK13" s="19" t="n">
        <f aca="false">MIN(Assumptions!$B$33,CHOOSE(AK2,Assumptions!$B$58,Assumptions!$B$59,Assumptions!$B$60)/Assumptions!$B$5)/12</f>
        <v>0.025</v>
      </c>
    </row>
    <row r="14" customFormat="false" ht="15" hidden="false" customHeight="false" outlineLevel="0" collapsed="false">
      <c r="A14" s="2" t="s">
        <v>141</v>
      </c>
      <c r="B14" s="15" t="n">
        <f aca="false">0</f>
        <v>0</v>
      </c>
      <c r="C14" s="15" t="n">
        <f aca="false">B15*C13</f>
        <v>0</v>
      </c>
      <c r="D14" s="15" t="n">
        <f aca="false">C15*D13</f>
        <v>0</v>
      </c>
      <c r="E14" s="15" t="n">
        <f aca="false">D15*E13</f>
        <v>0</v>
      </c>
      <c r="F14" s="15" t="n">
        <f aca="false">E15*F13</f>
        <v>0</v>
      </c>
      <c r="G14" s="15" t="n">
        <f aca="false">F15*G13</f>
        <v>0</v>
      </c>
      <c r="H14" s="15" t="n">
        <f aca="false">G15*H13</f>
        <v>0</v>
      </c>
      <c r="I14" s="15" t="n">
        <f aca="false">H15*I13</f>
        <v>0</v>
      </c>
      <c r="J14" s="15" t="n">
        <f aca="false">I15*J13</f>
        <v>0</v>
      </c>
      <c r="K14" s="15" t="n">
        <f aca="false">J15*K13</f>
        <v>0</v>
      </c>
      <c r="L14" s="15" t="n">
        <f aca="false">K15*L13</f>
        <v>2.09700772200772</v>
      </c>
      <c r="M14" s="15" t="n">
        <f aca="false">L15*M13</f>
        <v>3.49339071214071</v>
      </c>
      <c r="N14" s="15" t="n">
        <f aca="false">M15*N13</f>
        <v>3.60690194658945</v>
      </c>
      <c r="O14" s="15" t="n">
        <f aca="false">N15*O13</f>
        <v>3.5539699766731</v>
      </c>
      <c r="P14" s="15" t="n">
        <f aca="false">O15*P13</f>
        <v>3.50368460525257</v>
      </c>
      <c r="Q14" s="15" t="n">
        <f aca="false">P15*Q13</f>
        <v>3.45591350240307</v>
      </c>
      <c r="R14" s="15" t="n">
        <f aca="false">Q15*R13</f>
        <v>3.41053095469605</v>
      </c>
      <c r="S14" s="15" t="n">
        <f aca="false">R15*S13</f>
        <v>3.36741753437437</v>
      </c>
      <c r="T14" s="15" t="n">
        <f aca="false">S15*T13</f>
        <v>3.32645978506878</v>
      </c>
      <c r="U14" s="15" t="n">
        <f aca="false">T15*U13</f>
        <v>3.28754992322847</v>
      </c>
      <c r="V14" s="15" t="n">
        <f aca="false">U15*V13</f>
        <v>3.25058555448017</v>
      </c>
      <c r="W14" s="15" t="n">
        <f aca="false">V15*W13</f>
        <v>3.21546940416929</v>
      </c>
      <c r="X14" s="15" t="n">
        <f aca="false">W15*X13</f>
        <v>3.18210906137395</v>
      </c>
      <c r="Y14" s="15" t="n">
        <f aca="false">X15*Y13</f>
        <v>3.15041673571838</v>
      </c>
      <c r="Z14" s="15" t="n">
        <f aca="false">Y15*Z13</f>
        <v>3.12030902634559</v>
      </c>
      <c r="AA14" s="15" t="n">
        <f aca="false">Z15*AA13</f>
        <v>3.09170670244144</v>
      </c>
      <c r="AB14" s="15" t="n">
        <f aca="false">AA15*AB13</f>
        <v>3.06453449473249</v>
      </c>
      <c r="AC14" s="15" t="n">
        <f aca="false">AB15*AC13</f>
        <v>3.038720897409</v>
      </c>
      <c r="AD14" s="15" t="n">
        <f aca="false">AC15*AD13</f>
        <v>3.01419797995167</v>
      </c>
      <c r="AE14" s="15" t="n">
        <f aca="false">AD15*AE13</f>
        <v>2.99090120836722</v>
      </c>
      <c r="AF14" s="15" t="n">
        <f aca="false">AE15*AF13</f>
        <v>2.96876927536198</v>
      </c>
      <c r="AG14" s="15" t="n">
        <f aca="false">AF15*AG13</f>
        <v>2.92863196989504</v>
      </c>
      <c r="AH14" s="15" t="n">
        <f aca="false">AG15*AH13</f>
        <v>2.89050152970145</v>
      </c>
      <c r="AI14" s="15" t="n">
        <f aca="false">AH15*AI13</f>
        <v>2.85427761151753</v>
      </c>
      <c r="AJ14" s="15" t="n">
        <f aca="false">AI15*AJ13</f>
        <v>2.81986488924282</v>
      </c>
      <c r="AK14" s="15" t="n">
        <f aca="false">AJ15*AK13</f>
        <v>2.78717280308183</v>
      </c>
    </row>
    <row r="15" customFormat="false" ht="15" hidden="false" customHeight="false" outlineLevel="0" collapsed="false">
      <c r="A15" s="2" t="s">
        <v>142</v>
      </c>
      <c r="B15" s="15" t="n">
        <f aca="false">B12</f>
        <v>0</v>
      </c>
      <c r="C15" s="15" t="n">
        <f aca="false">B15*(1-Assumptions!$B$23)+C12</f>
        <v>0</v>
      </c>
      <c r="D15" s="15" t="n">
        <f aca="false">C15*(1-Assumptions!$B$23)+D12</f>
        <v>0</v>
      </c>
      <c r="E15" s="15" t="n">
        <f aca="false">D15*(1-Assumptions!$B$23)+E12</f>
        <v>0</v>
      </c>
      <c r="F15" s="15" t="n">
        <f aca="false">E15*(1-Assumptions!$B$23)+F12</f>
        <v>0</v>
      </c>
      <c r="G15" s="15" t="n">
        <f aca="false">F15*(1-Assumptions!$B$23)+G12</f>
        <v>0</v>
      </c>
      <c r="H15" s="15" t="n">
        <f aca="false">G15*(1-Assumptions!$B$23)+H12</f>
        <v>0</v>
      </c>
      <c r="I15" s="15" t="n">
        <f aca="false">H15*(1-Assumptions!$B$23)+I12</f>
        <v>0</v>
      </c>
      <c r="J15" s="15" t="n">
        <f aca="false">I15*(1-Assumptions!$B$23)+J12</f>
        <v>0</v>
      </c>
      <c r="K15" s="15" t="n">
        <f aca="false">J15*(1-Assumptions!$B$23)+K12</f>
        <v>50.3281853281853</v>
      </c>
      <c r="L15" s="15" t="n">
        <f aca="false">K15*(1-Assumptions!$B$23)+L12</f>
        <v>83.8413770913771</v>
      </c>
      <c r="M15" s="15" t="n">
        <f aca="false">L15*(1-Assumptions!$B$23)+M12</f>
        <v>144.276077863578</v>
      </c>
      <c r="N15" s="15" t="n">
        <f aca="false">M15*(1-Assumptions!$B$23)+N12</f>
        <v>142.158799066924</v>
      </c>
      <c r="O15" s="15" t="n">
        <f aca="false">N15*(1-Assumptions!$B$23)+O12</f>
        <v>140.147384210103</v>
      </c>
      <c r="P15" s="15" t="n">
        <f aca="false">O15*(1-Assumptions!$B$23)+P12</f>
        <v>138.236540096123</v>
      </c>
      <c r="Q15" s="15" t="n">
        <f aca="false">P15*(1-Assumptions!$B$23)+Q12</f>
        <v>136.421238187842</v>
      </c>
      <c r="R15" s="15" t="n">
        <f aca="false">Q15*(1-Assumptions!$B$23)+R12</f>
        <v>134.696701374975</v>
      </c>
      <c r="S15" s="15" t="n">
        <f aca="false">R15*(1-Assumptions!$B$23)+S12</f>
        <v>133.058391402751</v>
      </c>
      <c r="T15" s="15" t="n">
        <f aca="false">S15*(1-Assumptions!$B$23)+T12</f>
        <v>131.501996929139</v>
      </c>
      <c r="U15" s="15" t="n">
        <f aca="false">T15*(1-Assumptions!$B$23)+U12</f>
        <v>130.023422179207</v>
      </c>
      <c r="V15" s="15" t="n">
        <f aca="false">U15*(1-Assumptions!$B$23)+V12</f>
        <v>128.618776166772</v>
      </c>
      <c r="W15" s="15" t="n">
        <f aca="false">V15*(1-Assumptions!$B$23)+W12</f>
        <v>127.284362454958</v>
      </c>
      <c r="X15" s="15" t="n">
        <f aca="false">W15*(1-Assumptions!$B$23)+X12</f>
        <v>126.016669428735</v>
      </c>
      <c r="Y15" s="15" t="n">
        <f aca="false">X15*(1-Assumptions!$B$23)+Y12</f>
        <v>124.812361053824</v>
      </c>
      <c r="Z15" s="15" t="n">
        <f aca="false">Y15*(1-Assumptions!$B$23)+Z12</f>
        <v>123.668268097658</v>
      </c>
      <c r="AA15" s="15" t="n">
        <f aca="false">Z15*(1-Assumptions!$B$23)+AA12</f>
        <v>122.5813797893</v>
      </c>
      <c r="AB15" s="15" t="n">
        <f aca="false">AA15*(1-Assumptions!$B$23)+AB12</f>
        <v>121.54883589636</v>
      </c>
      <c r="AC15" s="15" t="n">
        <f aca="false">AB15*(1-Assumptions!$B$23)+AC12</f>
        <v>120.567919198067</v>
      </c>
      <c r="AD15" s="15" t="n">
        <f aca="false">AC15*(1-Assumptions!$B$23)+AD12</f>
        <v>119.636048334689</v>
      </c>
      <c r="AE15" s="15" t="n">
        <f aca="false">AD15*(1-Assumptions!$B$23)+AE12</f>
        <v>118.750771014479</v>
      </c>
      <c r="AF15" s="15" t="n">
        <f aca="false">AE15*(1-Assumptions!$B$23)+AF12</f>
        <v>117.145278795802</v>
      </c>
      <c r="AG15" s="15" t="n">
        <f aca="false">AF15*(1-Assumptions!$B$23)+AG12</f>
        <v>115.620061188058</v>
      </c>
      <c r="AH15" s="15" t="n">
        <f aca="false">AG15*(1-Assumptions!$B$23)+AH12</f>
        <v>114.171104460701</v>
      </c>
      <c r="AI15" s="15" t="n">
        <f aca="false">AH15*(1-Assumptions!$B$23)+AI12</f>
        <v>112.794595569713</v>
      </c>
      <c r="AJ15" s="15" t="n">
        <f aca="false">AI15*(1-Assumptions!$B$23)+AJ12</f>
        <v>111.486912123273</v>
      </c>
      <c r="AK15" s="15" t="n">
        <f aca="false">AJ15*(1-Assumptions!$B$23)+AK12</f>
        <v>110.244612849156</v>
      </c>
    </row>
    <row r="16" customFormat="false" ht="15" hidden="false" customHeight="false" outlineLevel="0" collapsed="false">
      <c r="A16" s="2" t="s">
        <v>143</v>
      </c>
      <c r="B16" s="15" t="n">
        <f aca="false">B12+B14</f>
        <v>0</v>
      </c>
      <c r="C16" s="15" t="n">
        <f aca="false">C12+C14</f>
        <v>0</v>
      </c>
      <c r="D16" s="15" t="n">
        <f aca="false">D12+D14</f>
        <v>0</v>
      </c>
      <c r="E16" s="15" t="n">
        <f aca="false">E12+E14</f>
        <v>0</v>
      </c>
      <c r="F16" s="15" t="n">
        <f aca="false">F12+F14</f>
        <v>0</v>
      </c>
      <c r="G16" s="15" t="n">
        <f aca="false">G12+G14</f>
        <v>0</v>
      </c>
      <c r="H16" s="15" t="n">
        <f aca="false">H12+H14</f>
        <v>0</v>
      </c>
      <c r="I16" s="15" t="n">
        <f aca="false">I12+I14</f>
        <v>0</v>
      </c>
      <c r="J16" s="15" t="n">
        <f aca="false">J12+J14</f>
        <v>0</v>
      </c>
      <c r="K16" s="15" t="n">
        <f aca="false">K12+K14</f>
        <v>50.3281853281853</v>
      </c>
      <c r="L16" s="15" t="n">
        <f aca="false">L12+L14</f>
        <v>38.1266087516088</v>
      </c>
      <c r="M16" s="15" t="n">
        <f aca="false">M12+M14</f>
        <v>68.1201603389103</v>
      </c>
      <c r="N16" s="15" t="n">
        <f aca="false">N12+N14</f>
        <v>8.70342704311454</v>
      </c>
      <c r="O16" s="15" t="n">
        <f aca="false">O12+O14</f>
        <v>8.6504950731982</v>
      </c>
      <c r="P16" s="15" t="n">
        <f aca="false">P12+P14</f>
        <v>8.60020970177767</v>
      </c>
      <c r="Q16" s="15" t="n">
        <f aca="false">Q12+Q14</f>
        <v>8.55243859892817</v>
      </c>
      <c r="R16" s="15" t="n">
        <f aca="false">R12+R14</f>
        <v>8.50705605122114</v>
      </c>
      <c r="S16" s="15" t="n">
        <f aca="false">S12+S14</f>
        <v>8.46394263089947</v>
      </c>
      <c r="T16" s="15" t="n">
        <f aca="false">T12+T14</f>
        <v>8.42298488159388</v>
      </c>
      <c r="U16" s="15" t="n">
        <f aca="false">U12+U14</f>
        <v>8.38407501975356</v>
      </c>
      <c r="V16" s="15" t="n">
        <f aca="false">V12+V14</f>
        <v>8.34711065100527</v>
      </c>
      <c r="W16" s="15" t="n">
        <f aca="false">W12+W14</f>
        <v>8.31199450069439</v>
      </c>
      <c r="X16" s="15" t="n">
        <f aca="false">X12+X14</f>
        <v>8.27863415789905</v>
      </c>
      <c r="Y16" s="15" t="n">
        <f aca="false">Y12+Y14</f>
        <v>8.24694183224348</v>
      </c>
      <c r="Z16" s="15" t="n">
        <f aca="false">Z12+Z14</f>
        <v>8.21683412287069</v>
      </c>
      <c r="AA16" s="15" t="n">
        <f aca="false">AA12+AA14</f>
        <v>8.18823179896653</v>
      </c>
      <c r="AB16" s="15" t="n">
        <f aca="false">AB12+AB14</f>
        <v>8.16105959125759</v>
      </c>
      <c r="AC16" s="15" t="n">
        <f aca="false">AC12+AC14</f>
        <v>8.13524599393409</v>
      </c>
      <c r="AD16" s="15" t="n">
        <f aca="false">AD12+AD14</f>
        <v>8.11072307647677</v>
      </c>
      <c r="AE16" s="15" t="n">
        <f aca="false">AE12+AE14</f>
        <v>8.08742630489231</v>
      </c>
      <c r="AF16" s="15" t="n">
        <f aca="false">AF12+AF14</f>
        <v>7.30081560740831</v>
      </c>
      <c r="AG16" s="15" t="n">
        <f aca="false">AG12+AG14</f>
        <v>7.26067830194137</v>
      </c>
      <c r="AH16" s="15" t="n">
        <f aca="false">AH12+AH14</f>
        <v>7.22254786174778</v>
      </c>
      <c r="AI16" s="15" t="n">
        <f aca="false">AI12+AI14</f>
        <v>7.18632394356387</v>
      </c>
      <c r="AJ16" s="15" t="n">
        <f aca="false">AJ12+AJ14</f>
        <v>7.15191122128915</v>
      </c>
      <c r="AK16" s="15" t="n">
        <f aca="false">AK12+AK14</f>
        <v>7.11921913512816</v>
      </c>
    </row>
    <row r="17" customFormat="false" ht="15" hidden="false" customHeight="false" outlineLevel="0" collapsed="false">
      <c r="A17" s="2" t="s">
        <v>144</v>
      </c>
      <c r="B17" s="18" t="n">
        <f aca="false">B16*B5*(1-Assumptions!$B$19)</f>
        <v>0</v>
      </c>
      <c r="C17" s="18" t="n">
        <f aca="false">C16*C5*(1-Assumptions!$B$19)</f>
        <v>0</v>
      </c>
      <c r="D17" s="18" t="n">
        <f aca="false">D16*D5*(1-Assumptions!$B$19)</f>
        <v>0</v>
      </c>
      <c r="E17" s="18" t="n">
        <f aca="false">E16*E5*(1-Assumptions!$B$19)</f>
        <v>0</v>
      </c>
      <c r="F17" s="18" t="n">
        <f aca="false">F16*F5*(1-Assumptions!$B$19)</f>
        <v>0</v>
      </c>
      <c r="G17" s="18" t="n">
        <f aca="false">G16*G5*(1-Assumptions!$B$19)</f>
        <v>0</v>
      </c>
      <c r="H17" s="18" t="n">
        <f aca="false">H16*H5*(1-Assumptions!$B$19)</f>
        <v>0</v>
      </c>
      <c r="I17" s="18" t="n">
        <f aca="false">I16*I5*(1-Assumptions!$B$19)</f>
        <v>0</v>
      </c>
      <c r="J17" s="18" t="n">
        <f aca="false">J16*J5*(1-Assumptions!$B$19)</f>
        <v>0</v>
      </c>
      <c r="K17" s="18" t="n">
        <f aca="false">K16*K5*(1-Assumptions!$B$19)</f>
        <v>1852.07722007722</v>
      </c>
      <c r="L17" s="18" t="n">
        <f aca="false">L16*L5*(1-Assumptions!$B$19)</f>
        <v>1403.0592020592</v>
      </c>
      <c r="M17" s="18" t="n">
        <f aca="false">M16*M5*(1-Assumptions!$B$19)</f>
        <v>2506.8219004719</v>
      </c>
      <c r="N17" s="18" t="n">
        <f aca="false">N16*N5*(1-Assumptions!$B$19)</f>
        <v>320.286115186615</v>
      </c>
      <c r="O17" s="18" t="n">
        <f aca="false">O16*O5*(1-Assumptions!$B$19)</f>
        <v>318.338218693694</v>
      </c>
      <c r="P17" s="18" t="n">
        <f aca="false">P16*P5*(1-Assumptions!$B$19)</f>
        <v>316.487717025418</v>
      </c>
      <c r="Q17" s="18" t="n">
        <f aca="false">Q16*Q5*(1-Assumptions!$B$19)</f>
        <v>314.729740440557</v>
      </c>
      <c r="R17" s="18" t="n">
        <f aca="false">R16*R5*(1-Assumptions!$B$19)</f>
        <v>313.059662684938</v>
      </c>
      <c r="S17" s="18" t="n">
        <f aca="false">S16*S5*(1-Assumptions!$B$19)</f>
        <v>311.4730888171</v>
      </c>
      <c r="T17" s="18" t="n">
        <f aca="false">T16*T5*(1-Assumptions!$B$19)</f>
        <v>309.965843642655</v>
      </c>
      <c r="U17" s="18" t="n">
        <f aca="false">U16*U5*(1-Assumptions!$B$19)</f>
        <v>308.533960726931</v>
      </c>
      <c r="V17" s="18" t="n">
        <f aca="false">V16*V5*(1-Assumptions!$B$19)</f>
        <v>307.173671956994</v>
      </c>
      <c r="W17" s="18" t="n">
        <f aca="false">W16*W5*(1-Assumptions!$B$19)</f>
        <v>305.881397625553</v>
      </c>
      <c r="X17" s="18" t="n">
        <f aca="false">X16*X5*(1-Assumptions!$B$19)</f>
        <v>304.653737010685</v>
      </c>
      <c r="Y17" s="18" t="n">
        <f aca="false">Y16*Y5*(1-Assumptions!$B$19)</f>
        <v>303.48745942656</v>
      </c>
      <c r="Z17" s="18" t="n">
        <f aca="false">Z16*Z5*(1-Assumptions!$B$19)</f>
        <v>302.379495721641</v>
      </c>
      <c r="AA17" s="18" t="n">
        <f aca="false">AA16*AA5*(1-Assumptions!$B$19)</f>
        <v>301.326930201969</v>
      </c>
      <c r="AB17" s="18" t="n">
        <f aca="false">AB16*AB5*(1-Assumptions!$B$19)</f>
        <v>300.326992958279</v>
      </c>
      <c r="AC17" s="18" t="n">
        <f aca="false">AC16*AC5*(1-Assumptions!$B$19)</f>
        <v>299.377052576775</v>
      </c>
      <c r="AD17" s="18" t="n">
        <f aca="false">AD16*AD5*(1-Assumptions!$B$19)</f>
        <v>298.474609214345</v>
      </c>
      <c r="AE17" s="18" t="n">
        <f aca="false">AE16*AE5*(1-Assumptions!$B$19)</f>
        <v>297.617288020037</v>
      </c>
      <c r="AF17" s="18" t="n">
        <f aca="false">AF16*AF5*(1-Assumptions!$B$19)</f>
        <v>255.236513634995</v>
      </c>
      <c r="AG17" s="18" t="n">
        <f aca="false">AG16*AG5*(1-Assumptions!$B$19)</f>
        <v>253.83331343587</v>
      </c>
      <c r="AH17" s="18" t="n">
        <f aca="false">AH16*AH5*(1-Assumptions!$B$19)</f>
        <v>252.500273246702</v>
      </c>
      <c r="AI17" s="18" t="n">
        <f aca="false">AI16*AI5*(1-Assumptions!$B$19)</f>
        <v>251.233885066993</v>
      </c>
      <c r="AJ17" s="18" t="n">
        <f aca="false">AJ16*AJ5*(1-Assumptions!$B$19)</f>
        <v>250.030816296269</v>
      </c>
      <c r="AK17" s="18" t="n">
        <f aca="false">AK16*AK5*(1-Assumptions!$B$19)</f>
        <v>248.887900964081</v>
      </c>
    </row>
    <row r="18" customFormat="false" ht="15" hidden="false" customHeight="false" outlineLevel="0" collapsed="false">
      <c r="A18" s="2" t="s">
        <v>145</v>
      </c>
      <c r="B18" s="15" t="n">
        <f aca="false">IF(B1&gt;=Assumptions!$B$7,CHOOSE(B2,Assumptions!$B$35,Assumptions!$B$36,Assumptions!$B$37)*Assumptions!$B$5*B4,0)</f>
        <v>0</v>
      </c>
      <c r="C18" s="15" t="n">
        <f aca="false">IF(C1&gt;=Assumptions!$B$7,CHOOSE(C2,Assumptions!$B$35,Assumptions!$B$36,Assumptions!$B$37)*Assumptions!$B$5*C4,0)</f>
        <v>0</v>
      </c>
      <c r="D18" s="15" t="n">
        <f aca="false">IF(D1&gt;=Assumptions!$B$7,CHOOSE(D2,Assumptions!$B$35,Assumptions!$B$36,Assumptions!$B$37)*Assumptions!$B$5*D4,0)</f>
        <v>0</v>
      </c>
      <c r="E18" s="15" t="n">
        <f aca="false">IF(E1&gt;=Assumptions!$B$7,CHOOSE(E2,Assumptions!$B$35,Assumptions!$B$36,Assumptions!$B$37)*Assumptions!$B$5*E4,0)</f>
        <v>0</v>
      </c>
      <c r="F18" s="15" t="n">
        <f aca="false">IF(F1&gt;=Assumptions!$B$7,CHOOSE(F2,Assumptions!$B$35,Assumptions!$B$36,Assumptions!$B$37)*Assumptions!$B$5*F4,0)</f>
        <v>0</v>
      </c>
      <c r="G18" s="15" t="n">
        <f aca="false">IF(G1&gt;=Assumptions!$B$7,CHOOSE(G2,Assumptions!$B$35,Assumptions!$B$36,Assumptions!$B$37)*Assumptions!$B$5*G4,0)</f>
        <v>0</v>
      </c>
      <c r="H18" s="15" t="n">
        <f aca="false">IF(H1&gt;=Assumptions!$B$7,CHOOSE(H2,Assumptions!$B$35,Assumptions!$B$36,Assumptions!$B$37)*Assumptions!$B$5*H4,0)</f>
        <v>0</v>
      </c>
      <c r="I18" s="15" t="n">
        <f aca="false">IF(I1&gt;=Assumptions!$B$7,CHOOSE(I2,Assumptions!$B$35,Assumptions!$B$36,Assumptions!$B$37)*Assumptions!$B$5*I4,0)</f>
        <v>0</v>
      </c>
      <c r="J18" s="15" t="n">
        <f aca="false">IF(J1&gt;=Assumptions!$B$7,CHOOSE(J2,Assumptions!$B$35,Assumptions!$B$36,Assumptions!$B$37)*Assumptions!$B$5*J4,0)</f>
        <v>0</v>
      </c>
      <c r="K18" s="15" t="n">
        <f aca="false">IF(K1&gt;=Assumptions!$B$7,CHOOSE(K2,Assumptions!$B$35,Assumptions!$B$36,Assumptions!$B$37)*Assumptions!$B$5*K4,0)</f>
        <v>0</v>
      </c>
      <c r="L18" s="15" t="n">
        <f aca="false">IF(L1&gt;=Assumptions!$B$7,CHOOSE(L2,Assumptions!$B$35,Assumptions!$B$36,Assumptions!$B$37)*Assumptions!$B$5*L4,0)</f>
        <v>0</v>
      </c>
      <c r="M18" s="15" t="n">
        <f aca="false">IF(M1&gt;=Assumptions!$B$7,CHOOSE(M2,Assumptions!$B$35,Assumptions!$B$36,Assumptions!$B$37)*Assumptions!$B$5*M4,0)</f>
        <v>0</v>
      </c>
      <c r="N18" s="15" t="n">
        <f aca="false">IF(N1&gt;=Assumptions!$B$7,CHOOSE(N2,Assumptions!$B$35,Assumptions!$B$36,Assumptions!$B$37)*Assumptions!$B$5*N4,0)</f>
        <v>20</v>
      </c>
      <c r="O18" s="15" t="n">
        <f aca="false">IF(O1&gt;=Assumptions!$B$7,CHOOSE(O2,Assumptions!$B$35,Assumptions!$B$36,Assumptions!$B$37)*Assumptions!$B$5*O4,0)</f>
        <v>20</v>
      </c>
      <c r="P18" s="15" t="n">
        <f aca="false">IF(P1&gt;=Assumptions!$B$7,CHOOSE(P2,Assumptions!$B$35,Assumptions!$B$36,Assumptions!$B$37)*Assumptions!$B$5*P4,0)</f>
        <v>20</v>
      </c>
      <c r="Q18" s="15" t="n">
        <f aca="false">IF(Q1&gt;=Assumptions!$B$7,CHOOSE(Q2,Assumptions!$B$35,Assumptions!$B$36,Assumptions!$B$37)*Assumptions!$B$5*Q4,0)</f>
        <v>20</v>
      </c>
      <c r="R18" s="15" t="n">
        <f aca="false">IF(R1&gt;=Assumptions!$B$7,CHOOSE(R2,Assumptions!$B$35,Assumptions!$B$36,Assumptions!$B$37)*Assumptions!$B$5*R4,0)</f>
        <v>20</v>
      </c>
      <c r="S18" s="15" t="n">
        <f aca="false">IF(S1&gt;=Assumptions!$B$7,CHOOSE(S2,Assumptions!$B$35,Assumptions!$B$36,Assumptions!$B$37)*Assumptions!$B$5*S4,0)</f>
        <v>20</v>
      </c>
      <c r="T18" s="15" t="n">
        <f aca="false">IF(T1&gt;=Assumptions!$B$7,CHOOSE(T2,Assumptions!$B$35,Assumptions!$B$36,Assumptions!$B$37)*Assumptions!$B$5*T4,0)</f>
        <v>20</v>
      </c>
      <c r="U18" s="15" t="n">
        <f aca="false">IF(U1&gt;=Assumptions!$B$7,CHOOSE(U2,Assumptions!$B$35,Assumptions!$B$36,Assumptions!$B$37)*Assumptions!$B$5*U4,0)</f>
        <v>20</v>
      </c>
      <c r="V18" s="15" t="n">
        <f aca="false">IF(V1&gt;=Assumptions!$B$7,CHOOSE(V2,Assumptions!$B$35,Assumptions!$B$36,Assumptions!$B$37)*Assumptions!$B$5*V4,0)</f>
        <v>20</v>
      </c>
      <c r="W18" s="15" t="n">
        <f aca="false">IF(W1&gt;=Assumptions!$B$7,CHOOSE(W2,Assumptions!$B$35,Assumptions!$B$36,Assumptions!$B$37)*Assumptions!$B$5*W4,0)</f>
        <v>20</v>
      </c>
      <c r="X18" s="15" t="n">
        <f aca="false">IF(X1&gt;=Assumptions!$B$7,CHOOSE(X2,Assumptions!$B$35,Assumptions!$B$36,Assumptions!$B$37)*Assumptions!$B$5*X4,0)</f>
        <v>20</v>
      </c>
      <c r="Y18" s="15" t="n">
        <f aca="false">IF(Y1&gt;=Assumptions!$B$7,CHOOSE(Y2,Assumptions!$B$35,Assumptions!$B$36,Assumptions!$B$37)*Assumptions!$B$5*Y4,0)</f>
        <v>20</v>
      </c>
      <c r="Z18" s="15" t="n">
        <f aca="false">IF(Z1&gt;=Assumptions!$B$7,CHOOSE(Z2,Assumptions!$B$35,Assumptions!$B$36,Assumptions!$B$37)*Assumptions!$B$5*Z4,0)</f>
        <v>40</v>
      </c>
      <c r="AA18" s="15" t="n">
        <f aca="false">IF(AA1&gt;=Assumptions!$B$7,CHOOSE(AA2,Assumptions!$B$35,Assumptions!$B$36,Assumptions!$B$37)*Assumptions!$B$5*AA4,0)</f>
        <v>40</v>
      </c>
      <c r="AB18" s="15" t="n">
        <f aca="false">IF(AB1&gt;=Assumptions!$B$7,CHOOSE(AB2,Assumptions!$B$35,Assumptions!$B$36,Assumptions!$B$37)*Assumptions!$B$5*AB4,0)</f>
        <v>40</v>
      </c>
      <c r="AC18" s="15" t="n">
        <f aca="false">IF(AC1&gt;=Assumptions!$B$7,CHOOSE(AC2,Assumptions!$B$35,Assumptions!$B$36,Assumptions!$B$37)*Assumptions!$B$5*AC4,0)</f>
        <v>40</v>
      </c>
      <c r="AD18" s="15" t="n">
        <f aca="false">IF(AD1&gt;=Assumptions!$B$7,CHOOSE(AD2,Assumptions!$B$35,Assumptions!$B$36,Assumptions!$B$37)*Assumptions!$B$5*AD4,0)</f>
        <v>40</v>
      </c>
      <c r="AE18" s="15" t="n">
        <f aca="false">IF(AE1&gt;=Assumptions!$B$7,CHOOSE(AE2,Assumptions!$B$35,Assumptions!$B$36,Assumptions!$B$37)*Assumptions!$B$5*AE4,0)</f>
        <v>40</v>
      </c>
      <c r="AF18" s="15" t="n">
        <f aca="false">IF(AF1&gt;=Assumptions!$B$7,CHOOSE(AF2,Assumptions!$B$35,Assumptions!$B$36,Assumptions!$B$37)*Assumptions!$B$5*AF4,0)</f>
        <v>34</v>
      </c>
      <c r="AG18" s="15" t="n">
        <f aca="false">IF(AG1&gt;=Assumptions!$B$7,CHOOSE(AG2,Assumptions!$B$35,Assumptions!$B$36,Assumptions!$B$37)*Assumptions!$B$5*AG4,0)</f>
        <v>34</v>
      </c>
      <c r="AH18" s="15" t="n">
        <f aca="false">IF(AH1&gt;=Assumptions!$B$7,CHOOSE(AH2,Assumptions!$B$35,Assumptions!$B$36,Assumptions!$B$37)*Assumptions!$B$5*AH4,0)</f>
        <v>34</v>
      </c>
      <c r="AI18" s="15" t="n">
        <f aca="false">IF(AI1&gt;=Assumptions!$B$7,CHOOSE(AI2,Assumptions!$B$35,Assumptions!$B$36,Assumptions!$B$37)*Assumptions!$B$5*AI4,0)</f>
        <v>34</v>
      </c>
      <c r="AJ18" s="15" t="n">
        <f aca="false">IF(AJ1&gt;=Assumptions!$B$7,CHOOSE(AJ2,Assumptions!$B$35,Assumptions!$B$36,Assumptions!$B$37)*Assumptions!$B$5*AJ4,0)</f>
        <v>34</v>
      </c>
      <c r="AK18" s="15" t="n">
        <f aca="false">IF(AK1&gt;=Assumptions!$B$7,CHOOSE(AK2,Assumptions!$B$35,Assumptions!$B$36,Assumptions!$B$37)*Assumptions!$B$5*AK4,0)</f>
        <v>34</v>
      </c>
    </row>
    <row r="19" customFormat="false" ht="15" hidden="false" customHeight="false" outlineLevel="0" collapsed="false">
      <c r="A19" s="2" t="s">
        <v>146</v>
      </c>
      <c r="B19" s="18" t="n">
        <f aca="false">B18*B5*(1-Assumptions!$B$20)</f>
        <v>0</v>
      </c>
      <c r="C19" s="18" t="n">
        <f aca="false">C18*C5*(1-Assumptions!$B$20)</f>
        <v>0</v>
      </c>
      <c r="D19" s="18" t="n">
        <f aca="false">D18*D5*(1-Assumptions!$B$20)</f>
        <v>0</v>
      </c>
      <c r="E19" s="18" t="n">
        <f aca="false">E18*E5*(1-Assumptions!$B$20)</f>
        <v>0</v>
      </c>
      <c r="F19" s="18" t="n">
        <f aca="false">F18*F5*(1-Assumptions!$B$20)</f>
        <v>0</v>
      </c>
      <c r="G19" s="18" t="n">
        <f aca="false">G18*G5*(1-Assumptions!$B$20)</f>
        <v>0</v>
      </c>
      <c r="H19" s="18" t="n">
        <f aca="false">H18*H5*(1-Assumptions!$B$20)</f>
        <v>0</v>
      </c>
      <c r="I19" s="18" t="n">
        <f aca="false">I18*I5*(1-Assumptions!$B$20)</f>
        <v>0</v>
      </c>
      <c r="J19" s="18" t="n">
        <f aca="false">J18*J5*(1-Assumptions!$B$20)</f>
        <v>0</v>
      </c>
      <c r="K19" s="18" t="n">
        <f aca="false">K18*K5*(1-Assumptions!$B$20)</f>
        <v>0</v>
      </c>
      <c r="L19" s="18" t="n">
        <f aca="false">L18*L5*(1-Assumptions!$B$20)</f>
        <v>0</v>
      </c>
      <c r="M19" s="18" t="n">
        <f aca="false">M18*M5*(1-Assumptions!$B$20)</f>
        <v>0</v>
      </c>
      <c r="N19" s="18" t="n">
        <f aca="false">N18*N5*(1-Assumptions!$B$20)</f>
        <v>600</v>
      </c>
      <c r="O19" s="18" t="n">
        <f aca="false">O18*O5*(1-Assumptions!$B$20)</f>
        <v>600</v>
      </c>
      <c r="P19" s="18" t="n">
        <f aca="false">P18*P5*(1-Assumptions!$B$20)</f>
        <v>600</v>
      </c>
      <c r="Q19" s="18" t="n">
        <f aca="false">Q18*Q5*(1-Assumptions!$B$20)</f>
        <v>600</v>
      </c>
      <c r="R19" s="18" t="n">
        <f aca="false">R18*R5*(1-Assumptions!$B$20)</f>
        <v>600</v>
      </c>
      <c r="S19" s="18" t="n">
        <f aca="false">S18*S5*(1-Assumptions!$B$20)</f>
        <v>600</v>
      </c>
      <c r="T19" s="18" t="n">
        <f aca="false">T18*T5*(1-Assumptions!$B$20)</f>
        <v>600</v>
      </c>
      <c r="U19" s="18" t="n">
        <f aca="false">U18*U5*(1-Assumptions!$B$20)</f>
        <v>600</v>
      </c>
      <c r="V19" s="18" t="n">
        <f aca="false">V18*V5*(1-Assumptions!$B$20)</f>
        <v>600</v>
      </c>
      <c r="W19" s="18" t="n">
        <f aca="false">W18*W5*(1-Assumptions!$B$20)</f>
        <v>600</v>
      </c>
      <c r="X19" s="18" t="n">
        <f aca="false">X18*X5*(1-Assumptions!$B$20)</f>
        <v>600</v>
      </c>
      <c r="Y19" s="18" t="n">
        <f aca="false">Y18*Y5*(1-Assumptions!$B$20)</f>
        <v>600</v>
      </c>
      <c r="Z19" s="18" t="n">
        <f aca="false">Z18*Z5*(1-Assumptions!$B$20)</f>
        <v>1200</v>
      </c>
      <c r="AA19" s="18" t="n">
        <f aca="false">AA18*AA5*(1-Assumptions!$B$20)</f>
        <v>1200</v>
      </c>
      <c r="AB19" s="18" t="n">
        <f aca="false">AB18*AB5*(1-Assumptions!$B$20)</f>
        <v>1200</v>
      </c>
      <c r="AC19" s="18" t="n">
        <f aca="false">AC18*AC5*(1-Assumptions!$B$20)</f>
        <v>1200</v>
      </c>
      <c r="AD19" s="18" t="n">
        <f aca="false">AD18*AD5*(1-Assumptions!$B$20)</f>
        <v>1200</v>
      </c>
      <c r="AE19" s="18" t="n">
        <f aca="false">AE18*AE5*(1-Assumptions!$B$20)</f>
        <v>1200</v>
      </c>
      <c r="AF19" s="18" t="n">
        <f aca="false">AF18*AF5*(1-Assumptions!$B$20)</f>
        <v>969</v>
      </c>
      <c r="AG19" s="18" t="n">
        <f aca="false">AG18*AG5*(1-Assumptions!$B$20)</f>
        <v>969</v>
      </c>
      <c r="AH19" s="18" t="n">
        <f aca="false">AH18*AH5*(1-Assumptions!$B$20)</f>
        <v>969</v>
      </c>
      <c r="AI19" s="18" t="n">
        <f aca="false">AI18*AI5*(1-Assumptions!$B$20)</f>
        <v>969</v>
      </c>
      <c r="AJ19" s="18" t="n">
        <f aca="false">AJ18*AJ5*(1-Assumptions!$B$20)</f>
        <v>969</v>
      </c>
      <c r="AK19" s="18" t="n">
        <f aca="false">AK18*AK5*(1-Assumptions!$B$20)</f>
        <v>969</v>
      </c>
    </row>
    <row r="20" customFormat="false" ht="15" hidden="false" customHeight="false" outlineLevel="0" collapsed="false">
      <c r="A20" s="2" t="s">
        <v>147</v>
      </c>
      <c r="B20" s="15" t="n">
        <f aca="false">B8+B18*Assumptions!$B$6*Assumptions!$B$9</f>
        <v>3963.96396396396</v>
      </c>
      <c r="C20" s="15" t="n">
        <f aca="false">B20+C8+C18*Assumptions!$B$6*Assumptions!$B$9</f>
        <v>7927.92792792793</v>
      </c>
      <c r="D20" s="15" t="n">
        <f aca="false">C20+D8+D18*Assumptions!$B$6*Assumptions!$B$9</f>
        <v>11891.8918918919</v>
      </c>
      <c r="E20" s="15" t="n">
        <f aca="false">D20+E8+E18*Assumptions!$B$6*Assumptions!$B$9</f>
        <v>12412.1621621622</v>
      </c>
      <c r="F20" s="15" t="n">
        <f aca="false">E20+F8+F18*Assumptions!$B$6*Assumptions!$B$9</f>
        <v>12932.4324324324</v>
      </c>
      <c r="G20" s="15" t="n">
        <f aca="false">F20+G8+G18*Assumptions!$B$6*Assumptions!$B$9</f>
        <v>13452.7027027027</v>
      </c>
      <c r="H20" s="15" t="n">
        <f aca="false">G20+H8+H18*Assumptions!$B$6*Assumptions!$B$9</f>
        <v>13972.972972973</v>
      </c>
      <c r="I20" s="15" t="n">
        <f aca="false">H20+I8+I18*Assumptions!$B$6*Assumptions!$B$9</f>
        <v>14493.2432432432</v>
      </c>
      <c r="J20" s="15" t="n">
        <f aca="false">I20+J8+J18*Assumptions!$B$6*Assumptions!$B$9</f>
        <v>15013.5135135135</v>
      </c>
      <c r="K20" s="15" t="n">
        <f aca="false">J20+K8+K18*Assumptions!$B$6*Assumptions!$B$9</f>
        <v>15533.7837837838</v>
      </c>
      <c r="L20" s="15" t="n">
        <f aca="false">K20+L8+L18*Assumptions!$B$6*Assumptions!$B$9</f>
        <v>16054.0540540541</v>
      </c>
      <c r="M20" s="15" t="n">
        <f aca="false">L20+M8+M18*Assumptions!$B$6*Assumptions!$B$9</f>
        <v>16574.3243243243</v>
      </c>
      <c r="N20" s="15" t="n">
        <f aca="false">M20+N8+N18*Assumptions!$B$6*Assumptions!$B$9</f>
        <v>16966.0810810811</v>
      </c>
      <c r="O20" s="15" t="n">
        <f aca="false">N20+O8+O18*Assumptions!$B$6*Assumptions!$B$9</f>
        <v>17357.8378378378</v>
      </c>
      <c r="P20" s="15" t="n">
        <f aca="false">O20+P8+P18*Assumptions!$B$6*Assumptions!$B$9</f>
        <v>17749.5945945946</v>
      </c>
      <c r="Q20" s="15" t="n">
        <f aca="false">P20+Q8+Q18*Assumptions!$B$6*Assumptions!$B$9</f>
        <v>18141.3513513514</v>
      </c>
      <c r="R20" s="15" t="n">
        <f aca="false">Q20+R8+R18*Assumptions!$B$6*Assumptions!$B$9</f>
        <v>18533.1081081081</v>
      </c>
      <c r="S20" s="15" t="n">
        <f aca="false">R20+S8+S18*Assumptions!$B$6*Assumptions!$B$9</f>
        <v>18924.8648648649</v>
      </c>
      <c r="T20" s="15" t="n">
        <f aca="false">S20+T8+T18*Assumptions!$B$6*Assumptions!$B$9</f>
        <v>19316.6216216216</v>
      </c>
      <c r="U20" s="15" t="n">
        <f aca="false">T20+U8+U18*Assumptions!$B$6*Assumptions!$B$9</f>
        <v>19708.3783783784</v>
      </c>
      <c r="V20" s="15" t="n">
        <f aca="false">U20+V8+V18*Assumptions!$B$6*Assumptions!$B$9</f>
        <v>20100.1351351351</v>
      </c>
      <c r="W20" s="15" t="n">
        <f aca="false">V20+W8+W18*Assumptions!$B$6*Assumptions!$B$9</f>
        <v>20491.8918918919</v>
      </c>
      <c r="X20" s="15" t="n">
        <f aca="false">W20+X8+X18*Assumptions!$B$6*Assumptions!$B$9</f>
        <v>20883.6486486486</v>
      </c>
      <c r="Y20" s="15" t="n">
        <f aca="false">X20+Y8+Y18*Assumptions!$B$6*Assumptions!$B$9</f>
        <v>21275.4054054054</v>
      </c>
      <c r="Z20" s="15" t="n">
        <f aca="false">Y20+Z8+Z18*Assumptions!$B$6*Assumptions!$B$9</f>
        <v>21702.1621621622</v>
      </c>
      <c r="AA20" s="15" t="n">
        <f aca="false">Z20+AA8+AA18*Assumptions!$B$6*Assumptions!$B$9</f>
        <v>22128.9189189189</v>
      </c>
      <c r="AB20" s="15" t="n">
        <f aca="false">AA20+AB8+AB18*Assumptions!$B$6*Assumptions!$B$9</f>
        <v>22555.6756756757</v>
      </c>
      <c r="AC20" s="15" t="n">
        <f aca="false">AB20+AC8+AC18*Assumptions!$B$6*Assumptions!$B$9</f>
        <v>22982.4324324324</v>
      </c>
      <c r="AD20" s="15" t="n">
        <f aca="false">AC20+AD8+AD18*Assumptions!$B$6*Assumptions!$B$9</f>
        <v>23409.1891891892</v>
      </c>
      <c r="AE20" s="15" t="n">
        <f aca="false">AD20+AE8+AE18*Assumptions!$B$6*Assumptions!$B$9</f>
        <v>23835.9459459459</v>
      </c>
      <c r="AF20" s="15" t="n">
        <f aca="false">AE20+AF8+AF18*Assumptions!$B$6*Assumptions!$B$9</f>
        <v>24198.6891891892</v>
      </c>
      <c r="AG20" s="15" t="n">
        <f aca="false">AF20+AG8+AG18*Assumptions!$B$6*Assumptions!$B$9</f>
        <v>24561.4324324324</v>
      </c>
      <c r="AH20" s="15" t="n">
        <f aca="false">AG20+AH8+AH18*Assumptions!$B$6*Assumptions!$B$9</f>
        <v>24924.1756756757</v>
      </c>
      <c r="AI20" s="15" t="n">
        <f aca="false">AH20+AI8+AI18*Assumptions!$B$6*Assumptions!$B$9</f>
        <v>25286.9189189189</v>
      </c>
      <c r="AJ20" s="15" t="n">
        <f aca="false">AI20+AJ8+AJ18*Assumptions!$B$6*Assumptions!$B$9</f>
        <v>25649.6621621622</v>
      </c>
      <c r="AK20" s="15" t="n">
        <f aca="false">AJ20+AK8+AK18*Assumptions!$B$6*Assumptions!$B$9</f>
        <v>26012.4054054054</v>
      </c>
    </row>
    <row r="21" customFormat="false" ht="15" hidden="false" customHeight="false" outlineLevel="0" collapsed="false">
      <c r="A21" s="2" t="s">
        <v>148</v>
      </c>
      <c r="B21" s="15" t="n">
        <f aca="false">B8+Assumptions!$B$8*B20</f>
        <v>4281.08108108108</v>
      </c>
      <c r="C21" s="15" t="n">
        <f aca="false">C8+Assumptions!$B$8*C20</f>
        <v>4598.1981981982</v>
      </c>
      <c r="D21" s="15" t="n">
        <f aca="false">D8+Assumptions!$B$8*D20</f>
        <v>4915.31531531532</v>
      </c>
      <c r="E21" s="15" t="n">
        <f aca="false">E8+Assumptions!$B$8*E20</f>
        <v>1513.24324324324</v>
      </c>
      <c r="F21" s="15" t="n">
        <f aca="false">F8+Assumptions!$B$8*F20</f>
        <v>1554.86486486487</v>
      </c>
      <c r="G21" s="15" t="n">
        <f aca="false">G8+Assumptions!$B$8*G20</f>
        <v>1596.48648648649</v>
      </c>
      <c r="H21" s="15" t="n">
        <f aca="false">H8+Assumptions!$B$8*H20</f>
        <v>1638.10810810811</v>
      </c>
      <c r="I21" s="15" t="n">
        <f aca="false">I8+Assumptions!$B$8*I20</f>
        <v>1679.72972972973</v>
      </c>
      <c r="J21" s="15" t="n">
        <f aca="false">J8+Assumptions!$B$8*J20</f>
        <v>1721.35135135135</v>
      </c>
      <c r="K21" s="15" t="n">
        <f aca="false">K8+Assumptions!$B$8*K20</f>
        <v>1762.97297297297</v>
      </c>
      <c r="L21" s="15" t="n">
        <f aca="false">L8+Assumptions!$B$8*L20</f>
        <v>1804.59459459459</v>
      </c>
      <c r="M21" s="15" t="n">
        <f aca="false">M8+Assumptions!$B$8*M20</f>
        <v>1846.21621621622</v>
      </c>
      <c r="N21" s="15" t="n">
        <f aca="false">N8+Assumptions!$B$8*N20</f>
        <v>1714.04324324324</v>
      </c>
      <c r="O21" s="15" t="n">
        <f aca="false">O8+Assumptions!$B$8*O20</f>
        <v>1745.38378378378</v>
      </c>
      <c r="P21" s="15" t="n">
        <f aca="false">P8+Assumptions!$B$8*P20</f>
        <v>1776.72432432432</v>
      </c>
      <c r="Q21" s="15" t="n">
        <f aca="false">Q8+Assumptions!$B$8*Q20</f>
        <v>1808.06486486486</v>
      </c>
      <c r="R21" s="15" t="n">
        <f aca="false">R8+Assumptions!$B$8*R20</f>
        <v>1839.40540540541</v>
      </c>
      <c r="S21" s="15" t="n">
        <f aca="false">S8+Assumptions!$B$8*S20</f>
        <v>1870.74594594595</v>
      </c>
      <c r="T21" s="15" t="n">
        <f aca="false">T8+Assumptions!$B$8*T20</f>
        <v>1902.08648648649</v>
      </c>
      <c r="U21" s="15" t="n">
        <f aca="false">U8+Assumptions!$B$8*U20</f>
        <v>1933.42702702703</v>
      </c>
      <c r="V21" s="15" t="n">
        <f aca="false">V8+Assumptions!$B$8*V20</f>
        <v>1964.76756756757</v>
      </c>
      <c r="W21" s="15" t="n">
        <f aca="false">W8+Assumptions!$B$8*W20</f>
        <v>1996.10810810811</v>
      </c>
      <c r="X21" s="15" t="n">
        <f aca="false">X8+Assumptions!$B$8*X20</f>
        <v>2027.44864864865</v>
      </c>
      <c r="Y21" s="15" t="n">
        <f aca="false">Y8+Assumptions!$B$8*Y20</f>
        <v>2058.78918918919</v>
      </c>
      <c r="Z21" s="15" t="n">
        <f aca="false">Z8+Assumptions!$B$8*Z20</f>
        <v>2092.92972972973</v>
      </c>
      <c r="AA21" s="15" t="n">
        <f aca="false">AA8+Assumptions!$B$8*AA20</f>
        <v>2127.07027027027</v>
      </c>
      <c r="AB21" s="15" t="n">
        <f aca="false">AB8+Assumptions!$B$8*AB20</f>
        <v>2161.21081081081</v>
      </c>
      <c r="AC21" s="15" t="n">
        <f aca="false">AC8+Assumptions!$B$8*AC20</f>
        <v>2195.35135135135</v>
      </c>
      <c r="AD21" s="15" t="n">
        <f aca="false">AD8+Assumptions!$B$8*AD20</f>
        <v>2229.49189189189</v>
      </c>
      <c r="AE21" s="15" t="n">
        <f aca="false">AE8+Assumptions!$B$8*AE20</f>
        <v>2263.63243243243</v>
      </c>
      <c r="AF21" s="15" t="n">
        <f aca="false">AF8+Assumptions!$B$8*AF20</f>
        <v>2239.13837837838</v>
      </c>
      <c r="AG21" s="15" t="n">
        <f aca="false">AG8+Assumptions!$B$8*AG20</f>
        <v>2268.15783783784</v>
      </c>
      <c r="AH21" s="15" t="n">
        <f aca="false">AH8+Assumptions!$B$8*AH20</f>
        <v>2297.1772972973</v>
      </c>
      <c r="AI21" s="15" t="n">
        <f aca="false">AI8+Assumptions!$B$8*AI20</f>
        <v>2326.19675675676</v>
      </c>
      <c r="AJ21" s="15" t="n">
        <f aca="false">AJ8+Assumptions!$B$8*AJ20</f>
        <v>2355.21621621622</v>
      </c>
      <c r="AK21" s="15" t="n">
        <f aca="false">AK8+Assumptions!$B$8*AK20</f>
        <v>2384.23567567568</v>
      </c>
    </row>
    <row r="22" customFormat="false" ht="15" hidden="false" customHeight="false" outlineLevel="0" collapsed="false">
      <c r="A22" s="2" t="s">
        <v>149</v>
      </c>
      <c r="B22" s="18" t="n">
        <f aca="false">IF(B1&gt;=Assumptions!$B$7,B21/1000*Assumptions!$B$50,0)</f>
        <v>0</v>
      </c>
      <c r="C22" s="18" t="n">
        <f aca="false">IF(C1&gt;=Assumptions!$B$7,C21/1000*Assumptions!$B$50,0)</f>
        <v>0</v>
      </c>
      <c r="D22" s="18" t="n">
        <f aca="false">IF(D1&gt;=Assumptions!$B$7,D21/1000*Assumptions!$B$50,0)</f>
        <v>0</v>
      </c>
      <c r="E22" s="18" t="n">
        <f aca="false">IF(E1&gt;=Assumptions!$B$7,E21/1000*Assumptions!$B$50,0)</f>
        <v>0</v>
      </c>
      <c r="F22" s="18" t="n">
        <f aca="false">IF(F1&gt;=Assumptions!$B$7,F21/1000*Assumptions!$B$50,0)</f>
        <v>0</v>
      </c>
      <c r="G22" s="18" t="n">
        <f aca="false">IF(G1&gt;=Assumptions!$B$7,G21/1000*Assumptions!$B$50,0)</f>
        <v>0</v>
      </c>
      <c r="H22" s="18" t="n">
        <f aca="false">IF(H1&gt;=Assumptions!$B$7,H21/1000*Assumptions!$B$50,0)</f>
        <v>0</v>
      </c>
      <c r="I22" s="18" t="n">
        <f aca="false">IF(I1&gt;=Assumptions!$B$7,I21/1000*Assumptions!$B$50,0)</f>
        <v>0</v>
      </c>
      <c r="J22" s="18" t="n">
        <f aca="false">IF(J1&gt;=Assumptions!$B$7,J21/1000*Assumptions!$B$50,0)</f>
        <v>0</v>
      </c>
      <c r="K22" s="18" t="n">
        <f aca="false">IF(K1&gt;=Assumptions!$B$7,K21/1000*Assumptions!$B$50,0)</f>
        <v>14.1037837837838</v>
      </c>
      <c r="L22" s="18" t="n">
        <f aca="false">IF(L1&gt;=Assumptions!$B$7,L21/1000*Assumptions!$B$50,0)</f>
        <v>14.4367567567568</v>
      </c>
      <c r="M22" s="18" t="n">
        <f aca="false">IF(M1&gt;=Assumptions!$B$7,M21/1000*Assumptions!$B$50,0)</f>
        <v>14.7697297297297</v>
      </c>
      <c r="N22" s="18" t="n">
        <f aca="false">IF(N1&gt;=Assumptions!$B$7,N21/1000*Assumptions!$B$50,0)</f>
        <v>13.7123459459459</v>
      </c>
      <c r="O22" s="18" t="n">
        <f aca="false">IF(O1&gt;=Assumptions!$B$7,O21/1000*Assumptions!$B$50,0)</f>
        <v>13.9630702702703</v>
      </c>
      <c r="P22" s="18" t="n">
        <f aca="false">IF(P1&gt;=Assumptions!$B$7,P21/1000*Assumptions!$B$50,0)</f>
        <v>14.2137945945946</v>
      </c>
      <c r="Q22" s="18" t="n">
        <f aca="false">IF(Q1&gt;=Assumptions!$B$7,Q21/1000*Assumptions!$B$50,0)</f>
        <v>14.4645189189189</v>
      </c>
      <c r="R22" s="18" t="n">
        <f aca="false">IF(R1&gt;=Assumptions!$B$7,R21/1000*Assumptions!$B$50,0)</f>
        <v>14.7152432432432</v>
      </c>
      <c r="S22" s="18" t="n">
        <f aca="false">IF(S1&gt;=Assumptions!$B$7,S21/1000*Assumptions!$B$50,0)</f>
        <v>14.9659675675676</v>
      </c>
      <c r="T22" s="18" t="n">
        <f aca="false">IF(T1&gt;=Assumptions!$B$7,T21/1000*Assumptions!$B$50,0)</f>
        <v>15.2166918918919</v>
      </c>
      <c r="U22" s="18" t="n">
        <f aca="false">IF(U1&gt;=Assumptions!$B$7,U21/1000*Assumptions!$B$50,0)</f>
        <v>15.4674162162162</v>
      </c>
      <c r="V22" s="18" t="n">
        <f aca="false">IF(V1&gt;=Assumptions!$B$7,V21/1000*Assumptions!$B$50,0)</f>
        <v>15.7181405405405</v>
      </c>
      <c r="W22" s="18" t="n">
        <f aca="false">IF(W1&gt;=Assumptions!$B$7,W21/1000*Assumptions!$B$50,0)</f>
        <v>15.9688648648649</v>
      </c>
      <c r="X22" s="18" t="n">
        <f aca="false">IF(X1&gt;=Assumptions!$B$7,X21/1000*Assumptions!$B$50,0)</f>
        <v>16.2195891891892</v>
      </c>
      <c r="Y22" s="18" t="n">
        <f aca="false">IF(Y1&gt;=Assumptions!$B$7,Y21/1000*Assumptions!$B$50,0)</f>
        <v>16.4703135135135</v>
      </c>
      <c r="Z22" s="18" t="n">
        <f aca="false">IF(Z1&gt;=Assumptions!$B$7,Z21/1000*Assumptions!$B$50,0)</f>
        <v>16.7434378378378</v>
      </c>
      <c r="AA22" s="18" t="n">
        <f aca="false">IF(AA1&gt;=Assumptions!$B$7,AA21/1000*Assumptions!$B$50,0)</f>
        <v>17.0165621621622</v>
      </c>
      <c r="AB22" s="18" t="n">
        <f aca="false">IF(AB1&gt;=Assumptions!$B$7,AB21/1000*Assumptions!$B$50,0)</f>
        <v>17.2896864864865</v>
      </c>
      <c r="AC22" s="18" t="n">
        <f aca="false">IF(AC1&gt;=Assumptions!$B$7,AC21/1000*Assumptions!$B$50,0)</f>
        <v>17.5628108108108</v>
      </c>
      <c r="AD22" s="18" t="n">
        <f aca="false">IF(AD1&gt;=Assumptions!$B$7,AD21/1000*Assumptions!$B$50,0)</f>
        <v>17.8359351351351</v>
      </c>
      <c r="AE22" s="18" t="n">
        <f aca="false">IF(AE1&gt;=Assumptions!$B$7,AE21/1000*Assumptions!$B$50,0)</f>
        <v>18.1090594594595</v>
      </c>
      <c r="AF22" s="18" t="n">
        <f aca="false">IF(AF1&gt;=Assumptions!$B$7,AF21/1000*Assumptions!$B$50,0)</f>
        <v>17.913107027027</v>
      </c>
      <c r="AG22" s="18" t="n">
        <f aca="false">IF(AG1&gt;=Assumptions!$B$7,AG21/1000*Assumptions!$B$50,0)</f>
        <v>18.1452627027027</v>
      </c>
      <c r="AH22" s="18" t="n">
        <f aca="false">IF(AH1&gt;=Assumptions!$B$7,AH21/1000*Assumptions!$B$50,0)</f>
        <v>18.3774183783784</v>
      </c>
      <c r="AI22" s="18" t="n">
        <f aca="false">IF(AI1&gt;=Assumptions!$B$7,AI21/1000*Assumptions!$B$50,0)</f>
        <v>18.6095740540541</v>
      </c>
      <c r="AJ22" s="18" t="n">
        <f aca="false">IF(AJ1&gt;=Assumptions!$B$7,AJ21/1000*Assumptions!$B$50,0)</f>
        <v>18.8417297297297</v>
      </c>
      <c r="AK22" s="18" t="n">
        <f aca="false">IF(AK1&gt;=Assumptions!$B$7,AK21/1000*Assumptions!$B$50,0)</f>
        <v>19.0738854054054</v>
      </c>
    </row>
    <row r="23" customFormat="false" ht="15" hidden="false" customHeight="false" outlineLevel="0" collapsed="false">
      <c r="A23" s="2" t="s">
        <v>150</v>
      </c>
      <c r="B23" s="18" t="n">
        <f aca="false">IF(B1&gt;=Assumptions!$B$7,CHOOSE(B2,Assumptions!$B$43,Assumptions!$B$44,Assumptions!$B$45)*Assumptions!$B$42/12,0)</f>
        <v>0</v>
      </c>
      <c r="C23" s="18" t="n">
        <f aca="false">IF(C1&gt;=Assumptions!$B$7,CHOOSE(C2,Assumptions!$B$43,Assumptions!$B$44,Assumptions!$B$45)*Assumptions!$B$42/12,0)</f>
        <v>0</v>
      </c>
      <c r="D23" s="18" t="n">
        <f aca="false">IF(D1&gt;=Assumptions!$B$7,CHOOSE(D2,Assumptions!$B$43,Assumptions!$B$44,Assumptions!$B$45)*Assumptions!$B$42/12,0)</f>
        <v>0</v>
      </c>
      <c r="E23" s="18" t="n">
        <f aca="false">IF(E1&gt;=Assumptions!$B$7,CHOOSE(E2,Assumptions!$B$43,Assumptions!$B$44,Assumptions!$B$45)*Assumptions!$B$42/12,0)</f>
        <v>0</v>
      </c>
      <c r="F23" s="18" t="n">
        <f aca="false">IF(F1&gt;=Assumptions!$B$7,CHOOSE(F2,Assumptions!$B$43,Assumptions!$B$44,Assumptions!$B$45)*Assumptions!$B$42/12,0)</f>
        <v>0</v>
      </c>
      <c r="G23" s="18" t="n">
        <f aca="false">IF(G1&gt;=Assumptions!$B$7,CHOOSE(G2,Assumptions!$B$43,Assumptions!$B$44,Assumptions!$B$45)*Assumptions!$B$42/12,0)</f>
        <v>0</v>
      </c>
      <c r="H23" s="18" t="n">
        <f aca="false">IF(H1&gt;=Assumptions!$B$7,CHOOSE(H2,Assumptions!$B$43,Assumptions!$B$44,Assumptions!$B$45)*Assumptions!$B$42/12,0)</f>
        <v>0</v>
      </c>
      <c r="I23" s="18" t="n">
        <f aca="false">IF(I1&gt;=Assumptions!$B$7,CHOOSE(I2,Assumptions!$B$43,Assumptions!$B$44,Assumptions!$B$45)*Assumptions!$B$42/12,0)</f>
        <v>0</v>
      </c>
      <c r="J23" s="18" t="n">
        <f aca="false">IF(J1&gt;=Assumptions!$B$7,CHOOSE(J2,Assumptions!$B$43,Assumptions!$B$44,Assumptions!$B$45)*Assumptions!$B$42/12,0)</f>
        <v>0</v>
      </c>
      <c r="K23" s="18" t="n">
        <f aca="false">IF(K1&gt;=Assumptions!$B$7,CHOOSE(K2,Assumptions!$B$43,Assumptions!$B$44,Assumptions!$B$45)*Assumptions!$B$42/12,0)</f>
        <v>500</v>
      </c>
      <c r="L23" s="18" t="n">
        <f aca="false">IF(L1&gt;=Assumptions!$B$7,CHOOSE(L2,Assumptions!$B$43,Assumptions!$B$44,Assumptions!$B$45)*Assumptions!$B$42/12,0)</f>
        <v>500</v>
      </c>
      <c r="M23" s="18" t="n">
        <f aca="false">IF(M1&gt;=Assumptions!$B$7,CHOOSE(M2,Assumptions!$B$43,Assumptions!$B$44,Assumptions!$B$45)*Assumptions!$B$42/12,0)</f>
        <v>500</v>
      </c>
      <c r="N23" s="18" t="n">
        <f aca="false">IF(N1&gt;=Assumptions!$B$7,CHOOSE(N2,Assumptions!$B$43,Assumptions!$B$44,Assumptions!$B$45)*Assumptions!$B$42/12,0)</f>
        <v>1250</v>
      </c>
      <c r="O23" s="18" t="n">
        <f aca="false">IF(O1&gt;=Assumptions!$B$7,CHOOSE(O2,Assumptions!$B$43,Assumptions!$B$44,Assumptions!$B$45)*Assumptions!$B$42/12,0)</f>
        <v>1250</v>
      </c>
      <c r="P23" s="18" t="n">
        <f aca="false">IF(P1&gt;=Assumptions!$B$7,CHOOSE(P2,Assumptions!$B$43,Assumptions!$B$44,Assumptions!$B$45)*Assumptions!$B$42/12,0)</f>
        <v>1250</v>
      </c>
      <c r="Q23" s="18" t="n">
        <f aca="false">IF(Q1&gt;=Assumptions!$B$7,CHOOSE(Q2,Assumptions!$B$43,Assumptions!$B$44,Assumptions!$B$45)*Assumptions!$B$42/12,0)</f>
        <v>1250</v>
      </c>
      <c r="R23" s="18" t="n">
        <f aca="false">IF(R1&gt;=Assumptions!$B$7,CHOOSE(R2,Assumptions!$B$43,Assumptions!$B$44,Assumptions!$B$45)*Assumptions!$B$42/12,0)</f>
        <v>1250</v>
      </c>
      <c r="S23" s="18" t="n">
        <f aca="false">IF(S1&gt;=Assumptions!$B$7,CHOOSE(S2,Assumptions!$B$43,Assumptions!$B$44,Assumptions!$B$45)*Assumptions!$B$42/12,0)</f>
        <v>1250</v>
      </c>
      <c r="T23" s="18" t="n">
        <f aca="false">IF(T1&gt;=Assumptions!$B$7,CHOOSE(T2,Assumptions!$B$43,Assumptions!$B$44,Assumptions!$B$45)*Assumptions!$B$42/12,0)</f>
        <v>1250</v>
      </c>
      <c r="U23" s="18" t="n">
        <f aca="false">IF(U1&gt;=Assumptions!$B$7,CHOOSE(U2,Assumptions!$B$43,Assumptions!$B$44,Assumptions!$B$45)*Assumptions!$B$42/12,0)</f>
        <v>1250</v>
      </c>
      <c r="V23" s="18" t="n">
        <f aca="false">IF(V1&gt;=Assumptions!$B$7,CHOOSE(V2,Assumptions!$B$43,Assumptions!$B$44,Assumptions!$B$45)*Assumptions!$B$42/12,0)</f>
        <v>1250</v>
      </c>
      <c r="W23" s="18" t="n">
        <f aca="false">IF(W1&gt;=Assumptions!$B$7,CHOOSE(W2,Assumptions!$B$43,Assumptions!$B$44,Assumptions!$B$45)*Assumptions!$B$42/12,0)</f>
        <v>1250</v>
      </c>
      <c r="X23" s="18" t="n">
        <f aca="false">IF(X1&gt;=Assumptions!$B$7,CHOOSE(X2,Assumptions!$B$43,Assumptions!$B$44,Assumptions!$B$45)*Assumptions!$B$42/12,0)</f>
        <v>1250</v>
      </c>
      <c r="Y23" s="18" t="n">
        <f aca="false">IF(Y1&gt;=Assumptions!$B$7,CHOOSE(Y2,Assumptions!$B$43,Assumptions!$B$44,Assumptions!$B$45)*Assumptions!$B$42/12,0)</f>
        <v>1250</v>
      </c>
      <c r="Z23" s="18" t="n">
        <f aca="false">IF(Z1&gt;=Assumptions!$B$7,CHOOSE(Z2,Assumptions!$B$43,Assumptions!$B$44,Assumptions!$B$45)*Assumptions!$B$42/12,0)</f>
        <v>2000</v>
      </c>
      <c r="AA23" s="18" t="n">
        <f aca="false">IF(AA1&gt;=Assumptions!$B$7,CHOOSE(AA2,Assumptions!$B$43,Assumptions!$B$44,Assumptions!$B$45)*Assumptions!$B$42/12,0)</f>
        <v>2000</v>
      </c>
      <c r="AB23" s="18" t="n">
        <f aca="false">IF(AB1&gt;=Assumptions!$B$7,CHOOSE(AB2,Assumptions!$B$43,Assumptions!$B$44,Assumptions!$B$45)*Assumptions!$B$42/12,0)</f>
        <v>2000</v>
      </c>
      <c r="AC23" s="18" t="n">
        <f aca="false">IF(AC1&gt;=Assumptions!$B$7,CHOOSE(AC2,Assumptions!$B$43,Assumptions!$B$44,Assumptions!$B$45)*Assumptions!$B$42/12,0)</f>
        <v>2000</v>
      </c>
      <c r="AD23" s="18" t="n">
        <f aca="false">IF(AD1&gt;=Assumptions!$B$7,CHOOSE(AD2,Assumptions!$B$43,Assumptions!$B$44,Assumptions!$B$45)*Assumptions!$B$42/12,0)</f>
        <v>2000</v>
      </c>
      <c r="AE23" s="18" t="n">
        <f aca="false">IF(AE1&gt;=Assumptions!$B$7,CHOOSE(AE2,Assumptions!$B$43,Assumptions!$B$44,Assumptions!$B$45)*Assumptions!$B$42/12,0)</f>
        <v>2000</v>
      </c>
      <c r="AF23" s="18" t="n">
        <f aca="false">IF(AF1&gt;=Assumptions!$B$7,CHOOSE(AF2,Assumptions!$B$43,Assumptions!$B$44,Assumptions!$B$45)*Assumptions!$B$42/12,0)</f>
        <v>2000</v>
      </c>
      <c r="AG23" s="18" t="n">
        <f aca="false">IF(AG1&gt;=Assumptions!$B$7,CHOOSE(AG2,Assumptions!$B$43,Assumptions!$B$44,Assumptions!$B$45)*Assumptions!$B$42/12,0)</f>
        <v>2000</v>
      </c>
      <c r="AH23" s="18" t="n">
        <f aca="false">IF(AH1&gt;=Assumptions!$B$7,CHOOSE(AH2,Assumptions!$B$43,Assumptions!$B$44,Assumptions!$B$45)*Assumptions!$B$42/12,0)</f>
        <v>2000</v>
      </c>
      <c r="AI23" s="18" t="n">
        <f aca="false">IF(AI1&gt;=Assumptions!$B$7,CHOOSE(AI2,Assumptions!$B$43,Assumptions!$B$44,Assumptions!$B$45)*Assumptions!$B$42/12,0)</f>
        <v>2000</v>
      </c>
      <c r="AJ23" s="18" t="n">
        <f aca="false">IF(AJ1&gt;=Assumptions!$B$7,CHOOSE(AJ2,Assumptions!$B$43,Assumptions!$B$44,Assumptions!$B$45)*Assumptions!$B$42/12,0)</f>
        <v>2000</v>
      </c>
      <c r="AK23" s="18" t="n">
        <f aca="false">IF(AK1&gt;=Assumptions!$B$7,CHOOSE(AK2,Assumptions!$B$43,Assumptions!$B$44,Assumptions!$B$45)*Assumptions!$B$42/12,0)</f>
        <v>2000</v>
      </c>
    </row>
    <row r="24" customFormat="false" ht="15" hidden="false" customHeight="false" outlineLevel="0" collapsed="false">
      <c r="A24" s="2" t="s">
        <v>151</v>
      </c>
      <c r="B24" s="18" t="n">
        <f aca="false">CHOOSE(B2,Assumptions!$B$46,Assumptions!$B$47,Assumptions!$B$48)*Assumptions!$B$49/12</f>
        <v>0</v>
      </c>
      <c r="C24" s="18" t="n">
        <f aca="false">CHOOSE(C2,Assumptions!$B$46,Assumptions!$B$47,Assumptions!$B$48)*Assumptions!$B$49/12</f>
        <v>0</v>
      </c>
      <c r="D24" s="18" t="n">
        <f aca="false">CHOOSE(D2,Assumptions!$B$46,Assumptions!$B$47,Assumptions!$B$48)*Assumptions!$B$49/12</f>
        <v>0</v>
      </c>
      <c r="E24" s="18" t="n">
        <f aca="false">CHOOSE(E2,Assumptions!$B$46,Assumptions!$B$47,Assumptions!$B$48)*Assumptions!$B$49/12</f>
        <v>0</v>
      </c>
      <c r="F24" s="18" t="n">
        <f aca="false">CHOOSE(F2,Assumptions!$B$46,Assumptions!$B$47,Assumptions!$B$48)*Assumptions!$B$49/12</f>
        <v>0</v>
      </c>
      <c r="G24" s="18" t="n">
        <f aca="false">CHOOSE(G2,Assumptions!$B$46,Assumptions!$B$47,Assumptions!$B$48)*Assumptions!$B$49/12</f>
        <v>0</v>
      </c>
      <c r="H24" s="18" t="n">
        <f aca="false">CHOOSE(H2,Assumptions!$B$46,Assumptions!$B$47,Assumptions!$B$48)*Assumptions!$B$49/12</f>
        <v>0</v>
      </c>
      <c r="I24" s="18" t="n">
        <f aca="false">CHOOSE(I2,Assumptions!$B$46,Assumptions!$B$47,Assumptions!$B$48)*Assumptions!$B$49/12</f>
        <v>0</v>
      </c>
      <c r="J24" s="18" t="n">
        <f aca="false">CHOOSE(J2,Assumptions!$B$46,Assumptions!$B$47,Assumptions!$B$48)*Assumptions!$B$49/12</f>
        <v>0</v>
      </c>
      <c r="K24" s="18" t="n">
        <f aca="false">CHOOSE(K2,Assumptions!$B$46,Assumptions!$B$47,Assumptions!$B$48)*Assumptions!$B$49/12</f>
        <v>0</v>
      </c>
      <c r="L24" s="18" t="n">
        <f aca="false">CHOOSE(L2,Assumptions!$B$46,Assumptions!$B$47,Assumptions!$B$48)*Assumptions!$B$49/12</f>
        <v>0</v>
      </c>
      <c r="M24" s="18" t="n">
        <f aca="false">CHOOSE(M2,Assumptions!$B$46,Assumptions!$B$47,Assumptions!$B$48)*Assumptions!$B$49/12</f>
        <v>0</v>
      </c>
      <c r="N24" s="18" t="n">
        <f aca="false">CHOOSE(N2,Assumptions!$B$46,Assumptions!$B$47,Assumptions!$B$48)*Assumptions!$B$49/12</f>
        <v>333.333333333333</v>
      </c>
      <c r="O24" s="18" t="n">
        <f aca="false">CHOOSE(O2,Assumptions!$B$46,Assumptions!$B$47,Assumptions!$B$48)*Assumptions!$B$49/12</f>
        <v>333.333333333333</v>
      </c>
      <c r="P24" s="18" t="n">
        <f aca="false">CHOOSE(P2,Assumptions!$B$46,Assumptions!$B$47,Assumptions!$B$48)*Assumptions!$B$49/12</f>
        <v>333.333333333333</v>
      </c>
      <c r="Q24" s="18" t="n">
        <f aca="false">CHOOSE(Q2,Assumptions!$B$46,Assumptions!$B$47,Assumptions!$B$48)*Assumptions!$B$49/12</f>
        <v>333.333333333333</v>
      </c>
      <c r="R24" s="18" t="n">
        <f aca="false">CHOOSE(R2,Assumptions!$B$46,Assumptions!$B$47,Assumptions!$B$48)*Assumptions!$B$49/12</f>
        <v>333.333333333333</v>
      </c>
      <c r="S24" s="18" t="n">
        <f aca="false">CHOOSE(S2,Assumptions!$B$46,Assumptions!$B$47,Assumptions!$B$48)*Assumptions!$B$49/12</f>
        <v>333.333333333333</v>
      </c>
      <c r="T24" s="18" t="n">
        <f aca="false">CHOOSE(T2,Assumptions!$B$46,Assumptions!$B$47,Assumptions!$B$48)*Assumptions!$B$49/12</f>
        <v>333.333333333333</v>
      </c>
      <c r="U24" s="18" t="n">
        <f aca="false">CHOOSE(U2,Assumptions!$B$46,Assumptions!$B$47,Assumptions!$B$48)*Assumptions!$B$49/12</f>
        <v>333.333333333333</v>
      </c>
      <c r="V24" s="18" t="n">
        <f aca="false">CHOOSE(V2,Assumptions!$B$46,Assumptions!$B$47,Assumptions!$B$48)*Assumptions!$B$49/12</f>
        <v>333.333333333333</v>
      </c>
      <c r="W24" s="18" t="n">
        <f aca="false">CHOOSE(W2,Assumptions!$B$46,Assumptions!$B$47,Assumptions!$B$48)*Assumptions!$B$49/12</f>
        <v>333.333333333333</v>
      </c>
      <c r="X24" s="18" t="n">
        <f aca="false">CHOOSE(X2,Assumptions!$B$46,Assumptions!$B$47,Assumptions!$B$48)*Assumptions!$B$49/12</f>
        <v>333.333333333333</v>
      </c>
      <c r="Y24" s="18" t="n">
        <f aca="false">CHOOSE(Y2,Assumptions!$B$46,Assumptions!$B$47,Assumptions!$B$48)*Assumptions!$B$49/12</f>
        <v>333.333333333333</v>
      </c>
      <c r="Z24" s="18" t="n">
        <f aca="false">CHOOSE(Z2,Assumptions!$B$46,Assumptions!$B$47,Assumptions!$B$48)*Assumptions!$B$49/12</f>
        <v>666.666666666667</v>
      </c>
      <c r="AA24" s="18" t="n">
        <f aca="false">CHOOSE(AA2,Assumptions!$B$46,Assumptions!$B$47,Assumptions!$B$48)*Assumptions!$B$49/12</f>
        <v>666.666666666667</v>
      </c>
      <c r="AB24" s="18" t="n">
        <f aca="false">CHOOSE(AB2,Assumptions!$B$46,Assumptions!$B$47,Assumptions!$B$48)*Assumptions!$B$49/12</f>
        <v>666.666666666667</v>
      </c>
      <c r="AC24" s="18" t="n">
        <f aca="false">CHOOSE(AC2,Assumptions!$B$46,Assumptions!$B$47,Assumptions!$B$48)*Assumptions!$B$49/12</f>
        <v>666.666666666667</v>
      </c>
      <c r="AD24" s="18" t="n">
        <f aca="false">CHOOSE(AD2,Assumptions!$B$46,Assumptions!$B$47,Assumptions!$B$48)*Assumptions!$B$49/12</f>
        <v>666.666666666667</v>
      </c>
      <c r="AE24" s="18" t="n">
        <f aca="false">CHOOSE(AE2,Assumptions!$B$46,Assumptions!$B$47,Assumptions!$B$48)*Assumptions!$B$49/12</f>
        <v>666.666666666667</v>
      </c>
      <c r="AF24" s="18" t="n">
        <f aca="false">CHOOSE(AF2,Assumptions!$B$46,Assumptions!$B$47,Assumptions!$B$48)*Assumptions!$B$49/12</f>
        <v>666.666666666667</v>
      </c>
      <c r="AG24" s="18" t="n">
        <f aca="false">CHOOSE(AG2,Assumptions!$B$46,Assumptions!$B$47,Assumptions!$B$48)*Assumptions!$B$49/12</f>
        <v>666.666666666667</v>
      </c>
      <c r="AH24" s="18" t="n">
        <f aca="false">CHOOSE(AH2,Assumptions!$B$46,Assumptions!$B$47,Assumptions!$B$48)*Assumptions!$B$49/12</f>
        <v>666.666666666667</v>
      </c>
      <c r="AI24" s="18" t="n">
        <f aca="false">CHOOSE(AI2,Assumptions!$B$46,Assumptions!$B$47,Assumptions!$B$48)*Assumptions!$B$49/12</f>
        <v>666.666666666667</v>
      </c>
      <c r="AJ24" s="18" t="n">
        <f aca="false">CHOOSE(AJ2,Assumptions!$B$46,Assumptions!$B$47,Assumptions!$B$48)*Assumptions!$B$49/12</f>
        <v>666.666666666667</v>
      </c>
      <c r="AK24" s="18" t="n">
        <f aca="false">CHOOSE(AK2,Assumptions!$B$46,Assumptions!$B$47,Assumptions!$B$48)*Assumptions!$B$49/12</f>
        <v>666.666666666667</v>
      </c>
    </row>
    <row r="25" customFormat="false" ht="15" hidden="false" customHeight="false" outlineLevel="0" collapsed="false">
      <c r="A25" s="2" t="s">
        <v>152</v>
      </c>
      <c r="B25" s="18" t="n">
        <f aca="false">CHOOSE(B2,Assumptions!$B$51,Assumptions!$B$52,Assumptions!$B$53)*Assumptions!$B$54</f>
        <v>0</v>
      </c>
      <c r="C25" s="18" t="n">
        <f aca="false">CHOOSE(C2,Assumptions!$B$51,Assumptions!$B$52,Assumptions!$B$53)*Assumptions!$B$54</f>
        <v>0</v>
      </c>
      <c r="D25" s="18" t="n">
        <f aca="false">CHOOSE(D2,Assumptions!$B$51,Assumptions!$B$52,Assumptions!$B$53)*Assumptions!$B$54</f>
        <v>0</v>
      </c>
      <c r="E25" s="18" t="n">
        <f aca="false">CHOOSE(E2,Assumptions!$B$51,Assumptions!$B$52,Assumptions!$B$53)*Assumptions!$B$54</f>
        <v>0</v>
      </c>
      <c r="F25" s="18" t="n">
        <f aca="false">CHOOSE(F2,Assumptions!$B$51,Assumptions!$B$52,Assumptions!$B$53)*Assumptions!$B$54</f>
        <v>0</v>
      </c>
      <c r="G25" s="18" t="n">
        <f aca="false">CHOOSE(G2,Assumptions!$B$51,Assumptions!$B$52,Assumptions!$B$53)*Assumptions!$B$54</f>
        <v>0</v>
      </c>
      <c r="H25" s="18" t="n">
        <f aca="false">CHOOSE(H2,Assumptions!$B$51,Assumptions!$B$52,Assumptions!$B$53)*Assumptions!$B$54</f>
        <v>0</v>
      </c>
      <c r="I25" s="18" t="n">
        <f aca="false">CHOOSE(I2,Assumptions!$B$51,Assumptions!$B$52,Assumptions!$B$53)*Assumptions!$B$54</f>
        <v>0</v>
      </c>
      <c r="J25" s="18" t="n">
        <f aca="false">CHOOSE(J2,Assumptions!$B$51,Assumptions!$B$52,Assumptions!$B$53)*Assumptions!$B$54</f>
        <v>0</v>
      </c>
      <c r="K25" s="18" t="n">
        <f aca="false">CHOOSE(K2,Assumptions!$B$51,Assumptions!$B$52,Assumptions!$B$53)*Assumptions!$B$54</f>
        <v>0</v>
      </c>
      <c r="L25" s="18" t="n">
        <f aca="false">CHOOSE(L2,Assumptions!$B$51,Assumptions!$B$52,Assumptions!$B$53)*Assumptions!$B$54</f>
        <v>0</v>
      </c>
      <c r="M25" s="18" t="n">
        <f aca="false">CHOOSE(M2,Assumptions!$B$51,Assumptions!$B$52,Assumptions!$B$53)*Assumptions!$B$54</f>
        <v>0</v>
      </c>
      <c r="N25" s="18" t="n">
        <f aca="false">CHOOSE(N2,Assumptions!$B$51,Assumptions!$B$52,Assumptions!$B$53)*Assumptions!$B$54</f>
        <v>1500</v>
      </c>
      <c r="O25" s="18" t="n">
        <f aca="false">CHOOSE(O2,Assumptions!$B$51,Assumptions!$B$52,Assumptions!$B$53)*Assumptions!$B$54</f>
        <v>1500</v>
      </c>
      <c r="P25" s="18" t="n">
        <f aca="false">CHOOSE(P2,Assumptions!$B$51,Assumptions!$B$52,Assumptions!$B$53)*Assumptions!$B$54</f>
        <v>1500</v>
      </c>
      <c r="Q25" s="18" t="n">
        <f aca="false">CHOOSE(Q2,Assumptions!$B$51,Assumptions!$B$52,Assumptions!$B$53)*Assumptions!$B$54</f>
        <v>1500</v>
      </c>
      <c r="R25" s="18" t="n">
        <f aca="false">CHOOSE(R2,Assumptions!$B$51,Assumptions!$B$52,Assumptions!$B$53)*Assumptions!$B$54</f>
        <v>1500</v>
      </c>
      <c r="S25" s="18" t="n">
        <f aca="false">CHOOSE(S2,Assumptions!$B$51,Assumptions!$B$52,Assumptions!$B$53)*Assumptions!$B$54</f>
        <v>1500</v>
      </c>
      <c r="T25" s="18" t="n">
        <f aca="false">CHOOSE(T2,Assumptions!$B$51,Assumptions!$B$52,Assumptions!$B$53)*Assumptions!$B$54</f>
        <v>1500</v>
      </c>
      <c r="U25" s="18" t="n">
        <f aca="false">CHOOSE(U2,Assumptions!$B$51,Assumptions!$B$52,Assumptions!$B$53)*Assumptions!$B$54</f>
        <v>1500</v>
      </c>
      <c r="V25" s="18" t="n">
        <f aca="false">CHOOSE(V2,Assumptions!$B$51,Assumptions!$B$52,Assumptions!$B$53)*Assumptions!$B$54</f>
        <v>1500</v>
      </c>
      <c r="W25" s="18" t="n">
        <f aca="false">CHOOSE(W2,Assumptions!$B$51,Assumptions!$B$52,Assumptions!$B$53)*Assumptions!$B$54</f>
        <v>1500</v>
      </c>
      <c r="X25" s="18" t="n">
        <f aca="false">CHOOSE(X2,Assumptions!$B$51,Assumptions!$B$52,Assumptions!$B$53)*Assumptions!$B$54</f>
        <v>1500</v>
      </c>
      <c r="Y25" s="18" t="n">
        <f aca="false">CHOOSE(Y2,Assumptions!$B$51,Assumptions!$B$52,Assumptions!$B$53)*Assumptions!$B$54</f>
        <v>1500</v>
      </c>
      <c r="Z25" s="18" t="n">
        <f aca="false">CHOOSE(Z2,Assumptions!$B$51,Assumptions!$B$52,Assumptions!$B$53)*Assumptions!$B$54</f>
        <v>3000</v>
      </c>
      <c r="AA25" s="18" t="n">
        <f aca="false">CHOOSE(AA2,Assumptions!$B$51,Assumptions!$B$52,Assumptions!$B$53)*Assumptions!$B$54</f>
        <v>3000</v>
      </c>
      <c r="AB25" s="18" t="n">
        <f aca="false">CHOOSE(AB2,Assumptions!$B$51,Assumptions!$B$52,Assumptions!$B$53)*Assumptions!$B$54</f>
        <v>3000</v>
      </c>
      <c r="AC25" s="18" t="n">
        <f aca="false">CHOOSE(AC2,Assumptions!$B$51,Assumptions!$B$52,Assumptions!$B$53)*Assumptions!$B$54</f>
        <v>3000</v>
      </c>
      <c r="AD25" s="18" t="n">
        <f aca="false">CHOOSE(AD2,Assumptions!$B$51,Assumptions!$B$52,Assumptions!$B$53)*Assumptions!$B$54</f>
        <v>3000</v>
      </c>
      <c r="AE25" s="18" t="n">
        <f aca="false">CHOOSE(AE2,Assumptions!$B$51,Assumptions!$B$52,Assumptions!$B$53)*Assumptions!$B$54</f>
        <v>3000</v>
      </c>
      <c r="AF25" s="18" t="n">
        <f aca="false">CHOOSE(AF2,Assumptions!$B$51,Assumptions!$B$52,Assumptions!$B$53)*Assumptions!$B$54</f>
        <v>3000</v>
      </c>
      <c r="AG25" s="18" t="n">
        <f aca="false">CHOOSE(AG2,Assumptions!$B$51,Assumptions!$B$52,Assumptions!$B$53)*Assumptions!$B$54</f>
        <v>3000</v>
      </c>
      <c r="AH25" s="18" t="n">
        <f aca="false">CHOOSE(AH2,Assumptions!$B$51,Assumptions!$B$52,Assumptions!$B$53)*Assumptions!$B$54</f>
        <v>3000</v>
      </c>
      <c r="AI25" s="18" t="n">
        <f aca="false">CHOOSE(AI2,Assumptions!$B$51,Assumptions!$B$52,Assumptions!$B$53)*Assumptions!$B$54</f>
        <v>3000</v>
      </c>
      <c r="AJ25" s="18" t="n">
        <f aca="false">CHOOSE(AJ2,Assumptions!$B$51,Assumptions!$B$52,Assumptions!$B$53)*Assumptions!$B$54</f>
        <v>3000</v>
      </c>
      <c r="AK25" s="18" t="n">
        <f aca="false">CHOOSE(AK2,Assumptions!$B$51,Assumptions!$B$52,Assumptions!$B$53)*Assumptions!$B$54</f>
        <v>3000</v>
      </c>
    </row>
    <row r="26" customFormat="false" ht="15" hidden="false" customHeight="false" outlineLevel="0" collapsed="false">
      <c r="A26" s="3" t="s">
        <v>153</v>
      </c>
      <c r="B26" s="18" t="n">
        <f aca="false">B17+B19+B22+B23+B24+B25</f>
        <v>0</v>
      </c>
      <c r="C26" s="18" t="n">
        <f aca="false">C17+C19+C22+C23+C24+C25</f>
        <v>0</v>
      </c>
      <c r="D26" s="18" t="n">
        <f aca="false">D17+D19+D22+D23+D24+D25</f>
        <v>0</v>
      </c>
      <c r="E26" s="18" t="n">
        <f aca="false">E17+E19+E22+E23+E24+E25</f>
        <v>0</v>
      </c>
      <c r="F26" s="18" t="n">
        <f aca="false">F17+F19+F22+F23+F24+F25</f>
        <v>0</v>
      </c>
      <c r="G26" s="18" t="n">
        <f aca="false">G17+G19+G22+G23+G24+G25</f>
        <v>0</v>
      </c>
      <c r="H26" s="18" t="n">
        <f aca="false">H17+H19+H22+H23+H24+H25</f>
        <v>0</v>
      </c>
      <c r="I26" s="18" t="n">
        <f aca="false">I17+I19+I22+I23+I24+I25</f>
        <v>0</v>
      </c>
      <c r="J26" s="18" t="n">
        <f aca="false">J17+J19+J22+J23+J24+J25</f>
        <v>0</v>
      </c>
      <c r="K26" s="18" t="n">
        <f aca="false">K17+K19+K22+K23+K24+K25</f>
        <v>2366.181003861</v>
      </c>
      <c r="L26" s="18" t="n">
        <f aca="false">L17+L19+L22+L23+L24+L25</f>
        <v>1917.49595881596</v>
      </c>
      <c r="M26" s="18" t="n">
        <f aca="false">M17+M19+M22+M23+M24+M25</f>
        <v>3021.59163020163</v>
      </c>
      <c r="N26" s="18" t="n">
        <f aca="false">N17+N19+N22+N23+N24+N25</f>
        <v>4017.33179446589</v>
      </c>
      <c r="O26" s="18" t="n">
        <f aca="false">O17+O19+O22+O23+O24+O25</f>
        <v>4015.6346222973</v>
      </c>
      <c r="P26" s="18" t="n">
        <f aca="false">P17+P19+P22+P23+P24+P25</f>
        <v>4014.03484495335</v>
      </c>
      <c r="Q26" s="18" t="n">
        <f aca="false">Q17+Q19+Q22+Q23+Q24+Q25</f>
        <v>4012.52759269281</v>
      </c>
      <c r="R26" s="18" t="n">
        <f aca="false">R17+R19+R22+R23+R24+R25</f>
        <v>4011.10823926152</v>
      </c>
      <c r="S26" s="18" t="n">
        <f aca="false">S17+S19+S22+S23+S24+S25</f>
        <v>4009.772389718</v>
      </c>
      <c r="T26" s="18" t="n">
        <f aca="false">T17+T19+T22+T23+T24+T25</f>
        <v>4008.51586886788</v>
      </c>
      <c r="U26" s="18" t="n">
        <f aca="false">U17+U19+U22+U23+U24+U25</f>
        <v>4007.33471027648</v>
      </c>
      <c r="V26" s="18" t="n">
        <f aca="false">V17+V19+V22+V23+V24+V25</f>
        <v>4006.22514583087</v>
      </c>
      <c r="W26" s="18" t="n">
        <f aca="false">W17+W19+W22+W23+W24+W25</f>
        <v>4005.18359582375</v>
      </c>
      <c r="X26" s="18" t="n">
        <f aca="false">X17+X19+X22+X23+X24+X25</f>
        <v>4004.20665953321</v>
      </c>
      <c r="Y26" s="18" t="n">
        <f aca="false">Y17+Y19+Y22+Y23+Y24+Y25</f>
        <v>4003.29110627341</v>
      </c>
      <c r="Z26" s="18" t="n">
        <f aca="false">Z17+Z19+Z22+Z23+Z24+Z25</f>
        <v>7185.78960022615</v>
      </c>
      <c r="AA26" s="18" t="n">
        <f aca="false">AA17+AA19+AA22+AA23+AA24+AA25</f>
        <v>7185.0101590308</v>
      </c>
      <c r="AB26" s="18" t="n">
        <f aca="false">AB17+AB19+AB22+AB23+AB24+AB25</f>
        <v>7184.28334611143</v>
      </c>
      <c r="AC26" s="18" t="n">
        <f aca="false">AC17+AC19+AC22+AC23+AC24+AC25</f>
        <v>7183.60653005425</v>
      </c>
      <c r="AD26" s="18" t="n">
        <f aca="false">AD17+AD19+AD22+AD23+AD24+AD25</f>
        <v>7182.97721101615</v>
      </c>
      <c r="AE26" s="18" t="n">
        <f aca="false">AE17+AE19+AE22+AE23+AE24+AE25</f>
        <v>7182.39301414616</v>
      </c>
      <c r="AF26" s="18" t="n">
        <f aca="false">AF17+AF19+AF22+AF23+AF24+AF25</f>
        <v>6908.81628732869</v>
      </c>
      <c r="AG26" s="18" t="n">
        <f aca="false">AG17+AG19+AG22+AG23+AG24+AG25</f>
        <v>6907.64524280524</v>
      </c>
      <c r="AH26" s="18" t="n">
        <f aca="false">AH17+AH19+AH22+AH23+AH24+AH25</f>
        <v>6906.54435829175</v>
      </c>
      <c r="AI26" s="18" t="n">
        <f aca="false">AI17+AI19+AI22+AI23+AI24+AI25</f>
        <v>6905.51012578771</v>
      </c>
      <c r="AJ26" s="18" t="n">
        <f aca="false">AJ17+AJ19+AJ22+AJ23+AJ24+AJ25</f>
        <v>6904.53921269267</v>
      </c>
      <c r="AK26" s="18" t="n">
        <f aca="false">AK17+AK19+AK22+AK23+AK24+AK25</f>
        <v>6903.62845303615</v>
      </c>
    </row>
    <row r="27" customFormat="false" ht="15" hidden="false" customHeight="false" outlineLevel="0" collapsed="false">
      <c r="A27" s="2" t="s">
        <v>154</v>
      </c>
      <c r="B27" s="16" t="n">
        <f aca="false">CHOOSE(B2,Assumptions!$B$58,Assumptions!$B$59,Assumptions!$B$60)/12</f>
        <v>0.416666666666667</v>
      </c>
      <c r="C27" s="16" t="n">
        <f aca="false">CHOOSE(C2,Assumptions!$B$58,Assumptions!$B$59,Assumptions!$B$60)/12</f>
        <v>0.416666666666667</v>
      </c>
      <c r="D27" s="16" t="n">
        <f aca="false">CHOOSE(D2,Assumptions!$B$58,Assumptions!$B$59,Assumptions!$B$60)/12</f>
        <v>0.416666666666667</v>
      </c>
      <c r="E27" s="16" t="n">
        <f aca="false">CHOOSE(E2,Assumptions!$B$58,Assumptions!$B$59,Assumptions!$B$60)/12</f>
        <v>0.416666666666667</v>
      </c>
      <c r="F27" s="16" t="n">
        <f aca="false">CHOOSE(F2,Assumptions!$B$58,Assumptions!$B$59,Assumptions!$B$60)/12</f>
        <v>0.416666666666667</v>
      </c>
      <c r="G27" s="16" t="n">
        <f aca="false">CHOOSE(G2,Assumptions!$B$58,Assumptions!$B$59,Assumptions!$B$60)/12</f>
        <v>0.416666666666667</v>
      </c>
      <c r="H27" s="16" t="n">
        <f aca="false">CHOOSE(H2,Assumptions!$B$58,Assumptions!$B$59,Assumptions!$B$60)/12</f>
        <v>0.416666666666667</v>
      </c>
      <c r="I27" s="16" t="n">
        <f aca="false">CHOOSE(I2,Assumptions!$B$58,Assumptions!$B$59,Assumptions!$B$60)/12</f>
        <v>0.416666666666667</v>
      </c>
      <c r="J27" s="16" t="n">
        <f aca="false">CHOOSE(J2,Assumptions!$B$58,Assumptions!$B$59,Assumptions!$B$60)/12</f>
        <v>0.416666666666667</v>
      </c>
      <c r="K27" s="16" t="n">
        <f aca="false">CHOOSE(K2,Assumptions!$B$58,Assumptions!$B$59,Assumptions!$B$60)/12</f>
        <v>0.416666666666667</v>
      </c>
      <c r="L27" s="16" t="n">
        <f aca="false">CHOOSE(L2,Assumptions!$B$58,Assumptions!$B$59,Assumptions!$B$60)/12</f>
        <v>0.416666666666667</v>
      </c>
      <c r="M27" s="16" t="n">
        <f aca="false">CHOOSE(M2,Assumptions!$B$58,Assumptions!$B$59,Assumptions!$B$60)/12</f>
        <v>0.416666666666667</v>
      </c>
      <c r="N27" s="16" t="n">
        <f aca="false">CHOOSE(N2,Assumptions!$B$58,Assumptions!$B$59,Assumptions!$B$60)/12</f>
        <v>0.25</v>
      </c>
      <c r="O27" s="16" t="n">
        <f aca="false">CHOOSE(O2,Assumptions!$B$58,Assumptions!$B$59,Assumptions!$B$60)/12</f>
        <v>0.25</v>
      </c>
      <c r="P27" s="16" t="n">
        <f aca="false">CHOOSE(P2,Assumptions!$B$58,Assumptions!$B$59,Assumptions!$B$60)/12</f>
        <v>0.25</v>
      </c>
      <c r="Q27" s="16" t="n">
        <f aca="false">CHOOSE(Q2,Assumptions!$B$58,Assumptions!$B$59,Assumptions!$B$60)/12</f>
        <v>0.25</v>
      </c>
      <c r="R27" s="16" t="n">
        <f aca="false">CHOOSE(R2,Assumptions!$B$58,Assumptions!$B$59,Assumptions!$B$60)/12</f>
        <v>0.25</v>
      </c>
      <c r="S27" s="16" t="n">
        <f aca="false">CHOOSE(S2,Assumptions!$B$58,Assumptions!$B$59,Assumptions!$B$60)/12</f>
        <v>0.25</v>
      </c>
      <c r="T27" s="16" t="n">
        <f aca="false">CHOOSE(T2,Assumptions!$B$58,Assumptions!$B$59,Assumptions!$B$60)/12</f>
        <v>0.25</v>
      </c>
      <c r="U27" s="16" t="n">
        <f aca="false">CHOOSE(U2,Assumptions!$B$58,Assumptions!$B$59,Assumptions!$B$60)/12</f>
        <v>0.25</v>
      </c>
      <c r="V27" s="16" t="n">
        <f aca="false">CHOOSE(V2,Assumptions!$B$58,Assumptions!$B$59,Assumptions!$B$60)/12</f>
        <v>0.25</v>
      </c>
      <c r="W27" s="16" t="n">
        <f aca="false">CHOOSE(W2,Assumptions!$B$58,Assumptions!$B$59,Assumptions!$B$60)/12</f>
        <v>0.25</v>
      </c>
      <c r="X27" s="16" t="n">
        <f aca="false">CHOOSE(X2,Assumptions!$B$58,Assumptions!$B$59,Assumptions!$B$60)/12</f>
        <v>0.25</v>
      </c>
      <c r="Y27" s="16" t="n">
        <f aca="false">CHOOSE(Y2,Assumptions!$B$58,Assumptions!$B$59,Assumptions!$B$60)/12</f>
        <v>0.25</v>
      </c>
      <c r="Z27" s="16" t="n">
        <f aca="false">CHOOSE(Z2,Assumptions!$B$58,Assumptions!$B$59,Assumptions!$B$60)/12</f>
        <v>0.25</v>
      </c>
      <c r="AA27" s="16" t="n">
        <f aca="false">CHOOSE(AA2,Assumptions!$B$58,Assumptions!$B$59,Assumptions!$B$60)/12</f>
        <v>0.25</v>
      </c>
      <c r="AB27" s="16" t="n">
        <f aca="false">CHOOSE(AB2,Assumptions!$B$58,Assumptions!$B$59,Assumptions!$B$60)/12</f>
        <v>0.25</v>
      </c>
      <c r="AC27" s="16" t="n">
        <f aca="false">CHOOSE(AC2,Assumptions!$B$58,Assumptions!$B$59,Assumptions!$B$60)/12</f>
        <v>0.25</v>
      </c>
      <c r="AD27" s="16" t="n">
        <f aca="false">CHOOSE(AD2,Assumptions!$B$58,Assumptions!$B$59,Assumptions!$B$60)/12</f>
        <v>0.25</v>
      </c>
      <c r="AE27" s="16" t="n">
        <f aca="false">CHOOSE(AE2,Assumptions!$B$58,Assumptions!$B$59,Assumptions!$B$60)/12</f>
        <v>0.25</v>
      </c>
      <c r="AF27" s="16" t="n">
        <f aca="false">CHOOSE(AF2,Assumptions!$B$58,Assumptions!$B$59,Assumptions!$B$60)/12</f>
        <v>0.25</v>
      </c>
      <c r="AG27" s="16" t="n">
        <f aca="false">CHOOSE(AG2,Assumptions!$B$58,Assumptions!$B$59,Assumptions!$B$60)/12</f>
        <v>0.25</v>
      </c>
      <c r="AH27" s="16" t="n">
        <f aca="false">CHOOSE(AH2,Assumptions!$B$58,Assumptions!$B$59,Assumptions!$B$60)/12</f>
        <v>0.25</v>
      </c>
      <c r="AI27" s="16" t="n">
        <f aca="false">CHOOSE(AI2,Assumptions!$B$58,Assumptions!$B$59,Assumptions!$B$60)/12</f>
        <v>0.25</v>
      </c>
      <c r="AJ27" s="16" t="n">
        <f aca="false">CHOOSE(AJ2,Assumptions!$B$58,Assumptions!$B$59,Assumptions!$B$60)/12</f>
        <v>0.25</v>
      </c>
      <c r="AK27" s="16" t="n">
        <f aca="false">CHOOSE(AK2,Assumptions!$B$58,Assumptions!$B$59,Assumptions!$B$60)/12</f>
        <v>0.25</v>
      </c>
    </row>
    <row r="28" customFormat="false" ht="15" hidden="false" customHeight="false" outlineLevel="0" collapsed="false">
      <c r="A28" s="2" t="s">
        <v>155</v>
      </c>
      <c r="B28" s="16" t="n">
        <f aca="false">Assumptions!$B$5+B27</f>
        <v>10.4166666666667</v>
      </c>
      <c r="C28" s="16" t="n">
        <f aca="false">B28+C27</f>
        <v>10.8333333333333</v>
      </c>
      <c r="D28" s="16" t="n">
        <f aca="false">C28+D27</f>
        <v>11.25</v>
      </c>
      <c r="E28" s="16" t="n">
        <f aca="false">D28+E27</f>
        <v>11.6666666666667</v>
      </c>
      <c r="F28" s="16" t="n">
        <f aca="false">E28+F27</f>
        <v>12.0833333333333</v>
      </c>
      <c r="G28" s="16" t="n">
        <f aca="false">F28+G27</f>
        <v>12.5</v>
      </c>
      <c r="H28" s="16" t="n">
        <f aca="false">G28+H27</f>
        <v>12.9166666666667</v>
      </c>
      <c r="I28" s="16" t="n">
        <f aca="false">H28+I27</f>
        <v>13.3333333333333</v>
      </c>
      <c r="J28" s="16" t="n">
        <f aca="false">I28+J27</f>
        <v>13.75</v>
      </c>
      <c r="K28" s="16" t="n">
        <f aca="false">J28+K27</f>
        <v>14.1666666666667</v>
      </c>
      <c r="L28" s="16" t="n">
        <f aca="false">K28+L27</f>
        <v>14.5833333333333</v>
      </c>
      <c r="M28" s="16" t="n">
        <f aca="false">L28+M27</f>
        <v>15</v>
      </c>
      <c r="N28" s="16" t="n">
        <f aca="false">M28+N27</f>
        <v>15.25</v>
      </c>
      <c r="O28" s="16" t="n">
        <f aca="false">N28+O27</f>
        <v>15.5</v>
      </c>
      <c r="P28" s="16" t="n">
        <f aca="false">O28+P27</f>
        <v>15.75</v>
      </c>
      <c r="Q28" s="16" t="n">
        <f aca="false">P28+Q27</f>
        <v>16</v>
      </c>
      <c r="R28" s="16" t="n">
        <f aca="false">Q28+R27</f>
        <v>16.25</v>
      </c>
      <c r="S28" s="16" t="n">
        <f aca="false">R28+S27</f>
        <v>16.5</v>
      </c>
      <c r="T28" s="16" t="n">
        <f aca="false">S28+T27</f>
        <v>16.75</v>
      </c>
      <c r="U28" s="16" t="n">
        <f aca="false">T28+U27</f>
        <v>17</v>
      </c>
      <c r="V28" s="16" t="n">
        <f aca="false">U28+V27</f>
        <v>17.25</v>
      </c>
      <c r="W28" s="16" t="n">
        <f aca="false">V28+W27</f>
        <v>17.5</v>
      </c>
      <c r="X28" s="16" t="n">
        <f aca="false">W28+X27</f>
        <v>17.75</v>
      </c>
      <c r="Y28" s="16" t="n">
        <f aca="false">X28+Y27</f>
        <v>18</v>
      </c>
      <c r="Z28" s="16" t="n">
        <f aca="false">Y28+Z27</f>
        <v>18.25</v>
      </c>
      <c r="AA28" s="16" t="n">
        <f aca="false">Z28+AA27</f>
        <v>18.5</v>
      </c>
      <c r="AB28" s="16" t="n">
        <f aca="false">AA28+AB27</f>
        <v>18.75</v>
      </c>
      <c r="AC28" s="16" t="n">
        <f aca="false">AB28+AC27</f>
        <v>19</v>
      </c>
      <c r="AD28" s="16" t="n">
        <f aca="false">AC28+AD27</f>
        <v>19.25</v>
      </c>
      <c r="AE28" s="16" t="n">
        <f aca="false">AD28+AE27</f>
        <v>19.5</v>
      </c>
      <c r="AF28" s="16" t="n">
        <f aca="false">AE28+AF27</f>
        <v>19.75</v>
      </c>
      <c r="AG28" s="16" t="n">
        <f aca="false">AF28+AG27</f>
        <v>20</v>
      </c>
      <c r="AH28" s="16" t="n">
        <f aca="false">AG28+AH27</f>
        <v>20.25</v>
      </c>
      <c r="AI28" s="16" t="n">
        <f aca="false">AH28+AI27</f>
        <v>20.5</v>
      </c>
      <c r="AJ28" s="16" t="n">
        <f aca="false">AI28+AJ27</f>
        <v>20.75</v>
      </c>
      <c r="AK28" s="16" t="n">
        <f aca="false">AJ28+AK27</f>
        <v>21</v>
      </c>
    </row>
    <row r="29" customFormat="false" ht="15" hidden="false" customHeight="false" outlineLevel="0" collapsed="false">
      <c r="A29" s="2" t="s">
        <v>156</v>
      </c>
      <c r="B29" s="18" t="n">
        <f aca="false">IF(B1=0,Assumptions!$B$12+Assumptions!$B$16+(Assumptions!$B$5-1)*(Assumptions!$B$13+Assumptions!$B$16),0)+B27*(Assumptions!$B$13*Assumptions!$B$11+Assumptions!$B$16)</f>
        <v>144458.333333333</v>
      </c>
      <c r="C29" s="18" t="n">
        <f aca="false">IF(C1=0,Assumptions!$B$12+Assumptions!$B$16+(Assumptions!$B$5-1)*(Assumptions!$B$13+Assumptions!$B$16),0)+C27*(Assumptions!$B$13*Assumptions!$B$11+Assumptions!$B$16)</f>
        <v>5458.33333333333</v>
      </c>
      <c r="D29" s="18" t="n">
        <f aca="false">IF(D1=0,Assumptions!$B$12+Assumptions!$B$16+(Assumptions!$B$5-1)*(Assumptions!$B$13+Assumptions!$B$16),0)+D27*(Assumptions!$B$13*Assumptions!$B$11+Assumptions!$B$16)</f>
        <v>5458.33333333333</v>
      </c>
      <c r="E29" s="18" t="n">
        <f aca="false">IF(E1=0,Assumptions!$B$12+Assumptions!$B$16+(Assumptions!$B$5-1)*(Assumptions!$B$13+Assumptions!$B$16),0)+E27*(Assumptions!$B$13*Assumptions!$B$11+Assumptions!$B$16)</f>
        <v>5458.33333333333</v>
      </c>
      <c r="F29" s="18" t="n">
        <f aca="false">IF(F1=0,Assumptions!$B$12+Assumptions!$B$16+(Assumptions!$B$5-1)*(Assumptions!$B$13+Assumptions!$B$16),0)+F27*(Assumptions!$B$13*Assumptions!$B$11+Assumptions!$B$16)</f>
        <v>5458.33333333333</v>
      </c>
      <c r="G29" s="18" t="n">
        <f aca="false">IF(G1=0,Assumptions!$B$12+Assumptions!$B$16+(Assumptions!$B$5-1)*(Assumptions!$B$13+Assumptions!$B$16),0)+G27*(Assumptions!$B$13*Assumptions!$B$11+Assumptions!$B$16)</f>
        <v>5458.33333333333</v>
      </c>
      <c r="H29" s="18" t="n">
        <f aca="false">IF(H1=0,Assumptions!$B$12+Assumptions!$B$16+(Assumptions!$B$5-1)*(Assumptions!$B$13+Assumptions!$B$16),0)+H27*(Assumptions!$B$13*Assumptions!$B$11+Assumptions!$B$16)</f>
        <v>5458.33333333333</v>
      </c>
      <c r="I29" s="18" t="n">
        <f aca="false">IF(I1=0,Assumptions!$B$12+Assumptions!$B$16+(Assumptions!$B$5-1)*(Assumptions!$B$13+Assumptions!$B$16),0)+I27*(Assumptions!$B$13*Assumptions!$B$11+Assumptions!$B$16)</f>
        <v>5458.33333333333</v>
      </c>
      <c r="J29" s="18" t="n">
        <f aca="false">IF(J1=0,Assumptions!$B$12+Assumptions!$B$16+(Assumptions!$B$5-1)*(Assumptions!$B$13+Assumptions!$B$16),0)+J27*(Assumptions!$B$13*Assumptions!$B$11+Assumptions!$B$16)</f>
        <v>5458.33333333333</v>
      </c>
      <c r="K29" s="18" t="n">
        <f aca="false">IF(K1=0,Assumptions!$B$12+Assumptions!$B$16+(Assumptions!$B$5-1)*(Assumptions!$B$13+Assumptions!$B$16),0)+K27*(Assumptions!$B$13*Assumptions!$B$11+Assumptions!$B$16)</f>
        <v>5458.33333333333</v>
      </c>
      <c r="L29" s="18" t="n">
        <f aca="false">IF(L1=0,Assumptions!$B$12+Assumptions!$B$16+(Assumptions!$B$5-1)*(Assumptions!$B$13+Assumptions!$B$16),0)+L27*(Assumptions!$B$13*Assumptions!$B$11+Assumptions!$B$16)</f>
        <v>5458.33333333333</v>
      </c>
      <c r="M29" s="18" t="n">
        <f aca="false">IF(M1=0,Assumptions!$B$12+Assumptions!$B$16+(Assumptions!$B$5-1)*(Assumptions!$B$13+Assumptions!$B$16),0)+M27*(Assumptions!$B$13*Assumptions!$B$11+Assumptions!$B$16)</f>
        <v>5458.33333333333</v>
      </c>
      <c r="N29" s="18" t="n">
        <f aca="false">IF(N1=0,Assumptions!$B$12+Assumptions!$B$16+(Assumptions!$B$5-1)*(Assumptions!$B$13+Assumptions!$B$16),0)+N27*(Assumptions!$B$13*Assumptions!$B$11+Assumptions!$B$16)</f>
        <v>3275</v>
      </c>
      <c r="O29" s="18" t="n">
        <f aca="false">IF(O1=0,Assumptions!$B$12+Assumptions!$B$16+(Assumptions!$B$5-1)*(Assumptions!$B$13+Assumptions!$B$16),0)+O27*(Assumptions!$B$13*Assumptions!$B$11+Assumptions!$B$16)</f>
        <v>3275</v>
      </c>
      <c r="P29" s="18" t="n">
        <f aca="false">IF(P1=0,Assumptions!$B$12+Assumptions!$B$16+(Assumptions!$B$5-1)*(Assumptions!$B$13+Assumptions!$B$16),0)+P27*(Assumptions!$B$13*Assumptions!$B$11+Assumptions!$B$16)</f>
        <v>3275</v>
      </c>
      <c r="Q29" s="18" t="n">
        <f aca="false">IF(Q1=0,Assumptions!$B$12+Assumptions!$B$16+(Assumptions!$B$5-1)*(Assumptions!$B$13+Assumptions!$B$16),0)+Q27*(Assumptions!$B$13*Assumptions!$B$11+Assumptions!$B$16)</f>
        <v>3275</v>
      </c>
      <c r="R29" s="18" t="n">
        <f aca="false">IF(R1=0,Assumptions!$B$12+Assumptions!$B$16+(Assumptions!$B$5-1)*(Assumptions!$B$13+Assumptions!$B$16),0)+R27*(Assumptions!$B$13*Assumptions!$B$11+Assumptions!$B$16)</f>
        <v>3275</v>
      </c>
      <c r="S29" s="18" t="n">
        <f aca="false">IF(S1=0,Assumptions!$B$12+Assumptions!$B$16+(Assumptions!$B$5-1)*(Assumptions!$B$13+Assumptions!$B$16),0)+S27*(Assumptions!$B$13*Assumptions!$B$11+Assumptions!$B$16)</f>
        <v>3275</v>
      </c>
      <c r="T29" s="18" t="n">
        <f aca="false">IF(T1=0,Assumptions!$B$12+Assumptions!$B$16+(Assumptions!$B$5-1)*(Assumptions!$B$13+Assumptions!$B$16),0)+T27*(Assumptions!$B$13*Assumptions!$B$11+Assumptions!$B$16)</f>
        <v>3275</v>
      </c>
      <c r="U29" s="18" t="n">
        <f aca="false">IF(U1=0,Assumptions!$B$12+Assumptions!$B$16+(Assumptions!$B$5-1)*(Assumptions!$B$13+Assumptions!$B$16),0)+U27*(Assumptions!$B$13*Assumptions!$B$11+Assumptions!$B$16)</f>
        <v>3275</v>
      </c>
      <c r="V29" s="18" t="n">
        <f aca="false">IF(V1=0,Assumptions!$B$12+Assumptions!$B$16+(Assumptions!$B$5-1)*(Assumptions!$B$13+Assumptions!$B$16),0)+V27*(Assumptions!$B$13*Assumptions!$B$11+Assumptions!$B$16)</f>
        <v>3275</v>
      </c>
      <c r="W29" s="18" t="n">
        <f aca="false">IF(W1=0,Assumptions!$B$12+Assumptions!$B$16+(Assumptions!$B$5-1)*(Assumptions!$B$13+Assumptions!$B$16),0)+W27*(Assumptions!$B$13*Assumptions!$B$11+Assumptions!$B$16)</f>
        <v>3275</v>
      </c>
      <c r="X29" s="18" t="n">
        <f aca="false">IF(X1=0,Assumptions!$B$12+Assumptions!$B$16+(Assumptions!$B$5-1)*(Assumptions!$B$13+Assumptions!$B$16),0)+X27*(Assumptions!$B$13*Assumptions!$B$11+Assumptions!$B$16)</f>
        <v>3275</v>
      </c>
      <c r="Y29" s="18" t="n">
        <f aca="false">IF(Y1=0,Assumptions!$B$12+Assumptions!$B$16+(Assumptions!$B$5-1)*(Assumptions!$B$13+Assumptions!$B$16),0)+Y27*(Assumptions!$B$13*Assumptions!$B$11+Assumptions!$B$16)</f>
        <v>3275</v>
      </c>
      <c r="Z29" s="18" t="n">
        <f aca="false">IF(Z1=0,Assumptions!$B$12+Assumptions!$B$16+(Assumptions!$B$5-1)*(Assumptions!$B$13+Assumptions!$B$16),0)+Z27*(Assumptions!$B$13*Assumptions!$B$11+Assumptions!$B$16)</f>
        <v>3275</v>
      </c>
      <c r="AA29" s="18" t="n">
        <f aca="false">IF(AA1=0,Assumptions!$B$12+Assumptions!$B$16+(Assumptions!$B$5-1)*(Assumptions!$B$13+Assumptions!$B$16),0)+AA27*(Assumptions!$B$13*Assumptions!$B$11+Assumptions!$B$16)</f>
        <v>3275</v>
      </c>
      <c r="AB29" s="18" t="n">
        <f aca="false">IF(AB1=0,Assumptions!$B$12+Assumptions!$B$16+(Assumptions!$B$5-1)*(Assumptions!$B$13+Assumptions!$B$16),0)+AB27*(Assumptions!$B$13*Assumptions!$B$11+Assumptions!$B$16)</f>
        <v>3275</v>
      </c>
      <c r="AC29" s="18" t="n">
        <f aca="false">IF(AC1=0,Assumptions!$B$12+Assumptions!$B$16+(Assumptions!$B$5-1)*(Assumptions!$B$13+Assumptions!$B$16),0)+AC27*(Assumptions!$B$13*Assumptions!$B$11+Assumptions!$B$16)</f>
        <v>3275</v>
      </c>
      <c r="AD29" s="18" t="n">
        <f aca="false">IF(AD1=0,Assumptions!$B$12+Assumptions!$B$16+(Assumptions!$B$5-1)*(Assumptions!$B$13+Assumptions!$B$16),0)+AD27*(Assumptions!$B$13*Assumptions!$B$11+Assumptions!$B$16)</f>
        <v>3275</v>
      </c>
      <c r="AE29" s="18" t="n">
        <f aca="false">IF(AE1=0,Assumptions!$B$12+Assumptions!$B$16+(Assumptions!$B$5-1)*(Assumptions!$B$13+Assumptions!$B$16),0)+AE27*(Assumptions!$B$13*Assumptions!$B$11+Assumptions!$B$16)</f>
        <v>3275</v>
      </c>
      <c r="AF29" s="18" t="n">
        <f aca="false">IF(AF1=0,Assumptions!$B$12+Assumptions!$B$16+(Assumptions!$B$5-1)*(Assumptions!$B$13+Assumptions!$B$16),0)+AF27*(Assumptions!$B$13*Assumptions!$B$11+Assumptions!$B$16)</f>
        <v>3275</v>
      </c>
      <c r="AG29" s="18" t="n">
        <f aca="false">IF(AG1=0,Assumptions!$B$12+Assumptions!$B$16+(Assumptions!$B$5-1)*(Assumptions!$B$13+Assumptions!$B$16),0)+AG27*(Assumptions!$B$13*Assumptions!$B$11+Assumptions!$B$16)</f>
        <v>3275</v>
      </c>
      <c r="AH29" s="18" t="n">
        <f aca="false">IF(AH1=0,Assumptions!$B$12+Assumptions!$B$16+(Assumptions!$B$5-1)*(Assumptions!$B$13+Assumptions!$B$16),0)+AH27*(Assumptions!$B$13*Assumptions!$B$11+Assumptions!$B$16)</f>
        <v>3275</v>
      </c>
      <c r="AI29" s="18" t="n">
        <f aca="false">IF(AI1=0,Assumptions!$B$12+Assumptions!$B$16+(Assumptions!$B$5-1)*(Assumptions!$B$13+Assumptions!$B$16),0)+AI27*(Assumptions!$B$13*Assumptions!$B$11+Assumptions!$B$16)</f>
        <v>3275</v>
      </c>
      <c r="AJ29" s="18" t="n">
        <f aca="false">IF(AJ1=0,Assumptions!$B$12+Assumptions!$B$16+(Assumptions!$B$5-1)*(Assumptions!$B$13+Assumptions!$B$16),0)+AJ27*(Assumptions!$B$13*Assumptions!$B$11+Assumptions!$B$16)</f>
        <v>3275</v>
      </c>
      <c r="AK29" s="18" t="n">
        <f aca="false">IF(AK1=0,Assumptions!$B$12+Assumptions!$B$16+(Assumptions!$B$5-1)*(Assumptions!$B$13+Assumptions!$B$16),0)+AK27*(Assumptions!$B$13*Assumptions!$B$11+Assumptions!$B$16)</f>
        <v>3275</v>
      </c>
    </row>
    <row r="30" customFormat="false" ht="15" hidden="false" customHeight="false" outlineLevel="0" collapsed="false">
      <c r="A30" s="2" t="s">
        <v>157</v>
      </c>
      <c r="B30" s="18" t="n">
        <f aca="false">B28*CHOOSE(B2,Assumptions!$B$61,Assumptions!$B$62,Assumptions!$B$63)*(Assumptions!$B$10*Assumptions!$B$14+(1-Assumptions!$B$10)*Assumptions!$B$15)/12</f>
        <v>2000.86805555556</v>
      </c>
      <c r="C30" s="18" t="n">
        <f aca="false">C28*CHOOSE(C2,Assumptions!$B$61,Assumptions!$B$62,Assumptions!$B$63)*(Assumptions!$B$10*Assumptions!$B$14+(1-Assumptions!$B$10)*Assumptions!$B$15)/12</f>
        <v>2080.90277777778</v>
      </c>
      <c r="D30" s="18" t="n">
        <f aca="false">D28*CHOOSE(D2,Assumptions!$B$61,Assumptions!$B$62,Assumptions!$B$63)*(Assumptions!$B$10*Assumptions!$B$14+(1-Assumptions!$B$10)*Assumptions!$B$15)/12</f>
        <v>2160.9375</v>
      </c>
      <c r="E30" s="18" t="n">
        <f aca="false">E28*CHOOSE(E2,Assumptions!$B$61,Assumptions!$B$62,Assumptions!$B$63)*(Assumptions!$B$10*Assumptions!$B$14+(1-Assumptions!$B$10)*Assumptions!$B$15)/12</f>
        <v>2240.97222222222</v>
      </c>
      <c r="F30" s="18" t="n">
        <f aca="false">F28*CHOOSE(F2,Assumptions!$B$61,Assumptions!$B$62,Assumptions!$B$63)*(Assumptions!$B$10*Assumptions!$B$14+(1-Assumptions!$B$10)*Assumptions!$B$15)/12</f>
        <v>2321.00694444444</v>
      </c>
      <c r="G30" s="18" t="n">
        <f aca="false">G28*CHOOSE(G2,Assumptions!$B$61,Assumptions!$B$62,Assumptions!$B$63)*(Assumptions!$B$10*Assumptions!$B$14+(1-Assumptions!$B$10)*Assumptions!$B$15)/12</f>
        <v>2401.04166666667</v>
      </c>
      <c r="H30" s="18" t="n">
        <f aca="false">H28*CHOOSE(H2,Assumptions!$B$61,Assumptions!$B$62,Assumptions!$B$63)*(Assumptions!$B$10*Assumptions!$B$14+(1-Assumptions!$B$10)*Assumptions!$B$15)/12</f>
        <v>2481.07638888889</v>
      </c>
      <c r="I30" s="18" t="n">
        <f aca="false">I28*CHOOSE(I2,Assumptions!$B$61,Assumptions!$B$62,Assumptions!$B$63)*(Assumptions!$B$10*Assumptions!$B$14+(1-Assumptions!$B$10)*Assumptions!$B$15)/12</f>
        <v>2561.11111111111</v>
      </c>
      <c r="J30" s="18" t="n">
        <f aca="false">J28*CHOOSE(J2,Assumptions!$B$61,Assumptions!$B$62,Assumptions!$B$63)*(Assumptions!$B$10*Assumptions!$B$14+(1-Assumptions!$B$10)*Assumptions!$B$15)/12</f>
        <v>2641.14583333333</v>
      </c>
      <c r="K30" s="18" t="n">
        <f aca="false">K28*CHOOSE(K2,Assumptions!$B$61,Assumptions!$B$62,Assumptions!$B$63)*(Assumptions!$B$10*Assumptions!$B$14+(1-Assumptions!$B$10)*Assumptions!$B$15)/12</f>
        <v>2721.18055555555</v>
      </c>
      <c r="L30" s="18" t="n">
        <f aca="false">L28*CHOOSE(L2,Assumptions!$B$61,Assumptions!$B$62,Assumptions!$B$63)*(Assumptions!$B$10*Assumptions!$B$14+(1-Assumptions!$B$10)*Assumptions!$B$15)/12</f>
        <v>2801.21527777778</v>
      </c>
      <c r="M30" s="18" t="n">
        <f aca="false">M28*CHOOSE(M2,Assumptions!$B$61,Assumptions!$B$62,Assumptions!$B$63)*(Assumptions!$B$10*Assumptions!$B$14+(1-Assumptions!$B$10)*Assumptions!$B$15)/12</f>
        <v>2881.25</v>
      </c>
      <c r="N30" s="18" t="n">
        <f aca="false">N28*CHOOSE(N2,Assumptions!$B$61,Assumptions!$B$62,Assumptions!$B$63)*(Assumptions!$B$10*Assumptions!$B$14+(1-Assumptions!$B$10)*Assumptions!$B$15)/12</f>
        <v>1757.5625</v>
      </c>
      <c r="O30" s="18" t="n">
        <f aca="false">O28*CHOOSE(O2,Assumptions!$B$61,Assumptions!$B$62,Assumptions!$B$63)*(Assumptions!$B$10*Assumptions!$B$14+(1-Assumptions!$B$10)*Assumptions!$B$15)/12</f>
        <v>1786.375</v>
      </c>
      <c r="P30" s="18" t="n">
        <f aca="false">P28*CHOOSE(P2,Assumptions!$B$61,Assumptions!$B$62,Assumptions!$B$63)*(Assumptions!$B$10*Assumptions!$B$14+(1-Assumptions!$B$10)*Assumptions!$B$15)/12</f>
        <v>1815.1875</v>
      </c>
      <c r="Q30" s="18" t="n">
        <f aca="false">Q28*CHOOSE(Q2,Assumptions!$B$61,Assumptions!$B$62,Assumptions!$B$63)*(Assumptions!$B$10*Assumptions!$B$14+(1-Assumptions!$B$10)*Assumptions!$B$15)/12</f>
        <v>1844</v>
      </c>
      <c r="R30" s="18" t="n">
        <f aca="false">R28*CHOOSE(R2,Assumptions!$B$61,Assumptions!$B$62,Assumptions!$B$63)*(Assumptions!$B$10*Assumptions!$B$14+(1-Assumptions!$B$10)*Assumptions!$B$15)/12</f>
        <v>1872.8125</v>
      </c>
      <c r="S30" s="18" t="n">
        <f aca="false">S28*CHOOSE(S2,Assumptions!$B$61,Assumptions!$B$62,Assumptions!$B$63)*(Assumptions!$B$10*Assumptions!$B$14+(1-Assumptions!$B$10)*Assumptions!$B$15)/12</f>
        <v>1901.625</v>
      </c>
      <c r="T30" s="18" t="n">
        <f aca="false">T28*CHOOSE(T2,Assumptions!$B$61,Assumptions!$B$62,Assumptions!$B$63)*(Assumptions!$B$10*Assumptions!$B$14+(1-Assumptions!$B$10)*Assumptions!$B$15)/12</f>
        <v>1930.4375</v>
      </c>
      <c r="U30" s="18" t="n">
        <f aca="false">U28*CHOOSE(U2,Assumptions!$B$61,Assumptions!$B$62,Assumptions!$B$63)*(Assumptions!$B$10*Assumptions!$B$14+(1-Assumptions!$B$10)*Assumptions!$B$15)/12</f>
        <v>1959.25</v>
      </c>
      <c r="V30" s="18" t="n">
        <f aca="false">V28*CHOOSE(V2,Assumptions!$B$61,Assumptions!$B$62,Assumptions!$B$63)*(Assumptions!$B$10*Assumptions!$B$14+(1-Assumptions!$B$10)*Assumptions!$B$15)/12</f>
        <v>1988.0625</v>
      </c>
      <c r="W30" s="18" t="n">
        <f aca="false">W28*CHOOSE(W2,Assumptions!$B$61,Assumptions!$B$62,Assumptions!$B$63)*(Assumptions!$B$10*Assumptions!$B$14+(1-Assumptions!$B$10)*Assumptions!$B$15)/12</f>
        <v>2016.875</v>
      </c>
      <c r="X30" s="18" t="n">
        <f aca="false">X28*CHOOSE(X2,Assumptions!$B$61,Assumptions!$B$62,Assumptions!$B$63)*(Assumptions!$B$10*Assumptions!$B$14+(1-Assumptions!$B$10)*Assumptions!$B$15)/12</f>
        <v>2045.6875</v>
      </c>
      <c r="Y30" s="18" t="n">
        <f aca="false">Y28*CHOOSE(Y2,Assumptions!$B$61,Assumptions!$B$62,Assumptions!$B$63)*(Assumptions!$B$10*Assumptions!$B$14+(1-Assumptions!$B$10)*Assumptions!$B$15)/12</f>
        <v>2074.5</v>
      </c>
      <c r="Z30" s="18" t="n">
        <f aca="false">Z28*CHOOSE(Z2,Assumptions!$B$61,Assumptions!$B$62,Assumptions!$B$63)*(Assumptions!$B$10*Assumptions!$B$14+(1-Assumptions!$B$10)*Assumptions!$B$15)/12</f>
        <v>1752.76041666667</v>
      </c>
      <c r="AA30" s="18" t="n">
        <f aca="false">AA28*CHOOSE(AA2,Assumptions!$B$61,Assumptions!$B$62,Assumptions!$B$63)*(Assumptions!$B$10*Assumptions!$B$14+(1-Assumptions!$B$10)*Assumptions!$B$15)/12</f>
        <v>1776.77083333333</v>
      </c>
      <c r="AB30" s="18" t="n">
        <f aca="false">AB28*CHOOSE(AB2,Assumptions!$B$61,Assumptions!$B$62,Assumptions!$B$63)*(Assumptions!$B$10*Assumptions!$B$14+(1-Assumptions!$B$10)*Assumptions!$B$15)/12</f>
        <v>1800.78125</v>
      </c>
      <c r="AC30" s="18" t="n">
        <f aca="false">AC28*CHOOSE(AC2,Assumptions!$B$61,Assumptions!$B$62,Assumptions!$B$63)*(Assumptions!$B$10*Assumptions!$B$14+(1-Assumptions!$B$10)*Assumptions!$B$15)/12</f>
        <v>1824.79166666667</v>
      </c>
      <c r="AD30" s="18" t="n">
        <f aca="false">AD28*CHOOSE(AD2,Assumptions!$B$61,Assumptions!$B$62,Assumptions!$B$63)*(Assumptions!$B$10*Assumptions!$B$14+(1-Assumptions!$B$10)*Assumptions!$B$15)/12</f>
        <v>1848.80208333333</v>
      </c>
      <c r="AE30" s="18" t="n">
        <f aca="false">AE28*CHOOSE(AE2,Assumptions!$B$61,Assumptions!$B$62,Assumptions!$B$63)*(Assumptions!$B$10*Assumptions!$B$14+(1-Assumptions!$B$10)*Assumptions!$B$15)/12</f>
        <v>1872.8125</v>
      </c>
      <c r="AF30" s="18" t="n">
        <f aca="false">AF28*CHOOSE(AF2,Assumptions!$B$61,Assumptions!$B$62,Assumptions!$B$63)*(Assumptions!$B$10*Assumptions!$B$14+(1-Assumptions!$B$10)*Assumptions!$B$15)/12</f>
        <v>1896.82291666667</v>
      </c>
      <c r="AG30" s="18" t="n">
        <f aca="false">AG28*CHOOSE(AG2,Assumptions!$B$61,Assumptions!$B$62,Assumptions!$B$63)*(Assumptions!$B$10*Assumptions!$B$14+(1-Assumptions!$B$10)*Assumptions!$B$15)/12</f>
        <v>1920.83333333333</v>
      </c>
      <c r="AH30" s="18" t="n">
        <f aca="false">AH28*CHOOSE(AH2,Assumptions!$B$61,Assumptions!$B$62,Assumptions!$B$63)*(Assumptions!$B$10*Assumptions!$B$14+(1-Assumptions!$B$10)*Assumptions!$B$15)/12</f>
        <v>1944.84375</v>
      </c>
      <c r="AI30" s="18" t="n">
        <f aca="false">AI28*CHOOSE(AI2,Assumptions!$B$61,Assumptions!$B$62,Assumptions!$B$63)*(Assumptions!$B$10*Assumptions!$B$14+(1-Assumptions!$B$10)*Assumptions!$B$15)/12</f>
        <v>1968.85416666667</v>
      </c>
      <c r="AJ30" s="18" t="n">
        <f aca="false">AJ28*CHOOSE(AJ2,Assumptions!$B$61,Assumptions!$B$62,Assumptions!$B$63)*(Assumptions!$B$10*Assumptions!$B$14+(1-Assumptions!$B$10)*Assumptions!$B$15)/12</f>
        <v>1992.86458333333</v>
      </c>
      <c r="AK30" s="18" t="n">
        <f aca="false">AK28*CHOOSE(AK2,Assumptions!$B$61,Assumptions!$B$62,Assumptions!$B$63)*(Assumptions!$B$10*Assumptions!$B$14+(1-Assumptions!$B$10)*Assumptions!$B$15)/12</f>
        <v>2016.875</v>
      </c>
    </row>
    <row r="31" customFormat="false" ht="15" hidden="false" customHeight="false" outlineLevel="0" collapsed="false">
      <c r="A31" s="2" t="s">
        <v>158</v>
      </c>
      <c r="B31" s="18" t="n">
        <f aca="false">CHOOSE(B2,Assumptions!$B$55,Assumptions!$B$56,Assumptions!$B$57)</f>
        <v>10000</v>
      </c>
      <c r="C31" s="18" t="n">
        <f aca="false">CHOOSE(C2,Assumptions!$B$55,Assumptions!$B$56,Assumptions!$B$57)</f>
        <v>10000</v>
      </c>
      <c r="D31" s="18" t="n">
        <f aca="false">CHOOSE(D2,Assumptions!$B$55,Assumptions!$B$56,Assumptions!$B$57)</f>
        <v>10000</v>
      </c>
      <c r="E31" s="18" t="n">
        <f aca="false">CHOOSE(E2,Assumptions!$B$55,Assumptions!$B$56,Assumptions!$B$57)</f>
        <v>10000</v>
      </c>
      <c r="F31" s="18" t="n">
        <f aca="false">CHOOSE(F2,Assumptions!$B$55,Assumptions!$B$56,Assumptions!$B$57)</f>
        <v>10000</v>
      </c>
      <c r="G31" s="18" t="n">
        <f aca="false">CHOOSE(G2,Assumptions!$B$55,Assumptions!$B$56,Assumptions!$B$57)</f>
        <v>10000</v>
      </c>
      <c r="H31" s="18" t="n">
        <f aca="false">CHOOSE(H2,Assumptions!$B$55,Assumptions!$B$56,Assumptions!$B$57)</f>
        <v>10000</v>
      </c>
      <c r="I31" s="18" t="n">
        <f aca="false">CHOOSE(I2,Assumptions!$B$55,Assumptions!$B$56,Assumptions!$B$57)</f>
        <v>10000</v>
      </c>
      <c r="J31" s="18" t="n">
        <f aca="false">CHOOSE(J2,Assumptions!$B$55,Assumptions!$B$56,Assumptions!$B$57)</f>
        <v>10000</v>
      </c>
      <c r="K31" s="18" t="n">
        <f aca="false">CHOOSE(K2,Assumptions!$B$55,Assumptions!$B$56,Assumptions!$B$57)</f>
        <v>10000</v>
      </c>
      <c r="L31" s="18" t="n">
        <f aca="false">CHOOSE(L2,Assumptions!$B$55,Assumptions!$B$56,Assumptions!$B$57)</f>
        <v>10000</v>
      </c>
      <c r="M31" s="18" t="n">
        <f aca="false">CHOOSE(M2,Assumptions!$B$55,Assumptions!$B$56,Assumptions!$B$57)</f>
        <v>10000</v>
      </c>
      <c r="N31" s="18" t="n">
        <f aca="false">CHOOSE(N2,Assumptions!$B$55,Assumptions!$B$56,Assumptions!$B$57)</f>
        <v>8000</v>
      </c>
      <c r="O31" s="18" t="n">
        <f aca="false">CHOOSE(O2,Assumptions!$B$55,Assumptions!$B$56,Assumptions!$B$57)</f>
        <v>8000</v>
      </c>
      <c r="P31" s="18" t="n">
        <f aca="false">CHOOSE(P2,Assumptions!$B$55,Assumptions!$B$56,Assumptions!$B$57)</f>
        <v>8000</v>
      </c>
      <c r="Q31" s="18" t="n">
        <f aca="false">CHOOSE(Q2,Assumptions!$B$55,Assumptions!$B$56,Assumptions!$B$57)</f>
        <v>8000</v>
      </c>
      <c r="R31" s="18" t="n">
        <f aca="false">CHOOSE(R2,Assumptions!$B$55,Assumptions!$B$56,Assumptions!$B$57)</f>
        <v>8000</v>
      </c>
      <c r="S31" s="18" t="n">
        <f aca="false">CHOOSE(S2,Assumptions!$B$55,Assumptions!$B$56,Assumptions!$B$57)</f>
        <v>8000</v>
      </c>
      <c r="T31" s="18" t="n">
        <f aca="false">CHOOSE(T2,Assumptions!$B$55,Assumptions!$B$56,Assumptions!$B$57)</f>
        <v>8000</v>
      </c>
      <c r="U31" s="18" t="n">
        <f aca="false">CHOOSE(U2,Assumptions!$B$55,Assumptions!$B$56,Assumptions!$B$57)</f>
        <v>8000</v>
      </c>
      <c r="V31" s="18" t="n">
        <f aca="false">CHOOSE(V2,Assumptions!$B$55,Assumptions!$B$56,Assumptions!$B$57)</f>
        <v>8000</v>
      </c>
      <c r="W31" s="18" t="n">
        <f aca="false">CHOOSE(W2,Assumptions!$B$55,Assumptions!$B$56,Assumptions!$B$57)</f>
        <v>8000</v>
      </c>
      <c r="X31" s="18" t="n">
        <f aca="false">CHOOSE(X2,Assumptions!$B$55,Assumptions!$B$56,Assumptions!$B$57)</f>
        <v>8000</v>
      </c>
      <c r="Y31" s="18" t="n">
        <f aca="false">CHOOSE(Y2,Assumptions!$B$55,Assumptions!$B$56,Assumptions!$B$57)</f>
        <v>8000</v>
      </c>
      <c r="Z31" s="18" t="n">
        <f aca="false">CHOOSE(Z2,Assumptions!$B$55,Assumptions!$B$56,Assumptions!$B$57)</f>
        <v>8000</v>
      </c>
      <c r="AA31" s="18" t="n">
        <f aca="false">CHOOSE(AA2,Assumptions!$B$55,Assumptions!$B$56,Assumptions!$B$57)</f>
        <v>8000</v>
      </c>
      <c r="AB31" s="18" t="n">
        <f aca="false">CHOOSE(AB2,Assumptions!$B$55,Assumptions!$B$56,Assumptions!$B$57)</f>
        <v>8000</v>
      </c>
      <c r="AC31" s="18" t="n">
        <f aca="false">CHOOSE(AC2,Assumptions!$B$55,Assumptions!$B$56,Assumptions!$B$57)</f>
        <v>8000</v>
      </c>
      <c r="AD31" s="18" t="n">
        <f aca="false">CHOOSE(AD2,Assumptions!$B$55,Assumptions!$B$56,Assumptions!$B$57)</f>
        <v>8000</v>
      </c>
      <c r="AE31" s="18" t="n">
        <f aca="false">CHOOSE(AE2,Assumptions!$B$55,Assumptions!$B$56,Assumptions!$B$57)</f>
        <v>8000</v>
      </c>
      <c r="AF31" s="18" t="n">
        <f aca="false">CHOOSE(AF2,Assumptions!$B$55,Assumptions!$B$56,Assumptions!$B$57)</f>
        <v>8000</v>
      </c>
      <c r="AG31" s="18" t="n">
        <f aca="false">CHOOSE(AG2,Assumptions!$B$55,Assumptions!$B$56,Assumptions!$B$57)</f>
        <v>8000</v>
      </c>
      <c r="AH31" s="18" t="n">
        <f aca="false">CHOOSE(AH2,Assumptions!$B$55,Assumptions!$B$56,Assumptions!$B$57)</f>
        <v>8000</v>
      </c>
      <c r="AI31" s="18" t="n">
        <f aca="false">CHOOSE(AI2,Assumptions!$B$55,Assumptions!$B$56,Assumptions!$B$57)</f>
        <v>8000</v>
      </c>
      <c r="AJ31" s="18" t="n">
        <f aca="false">CHOOSE(AJ2,Assumptions!$B$55,Assumptions!$B$56,Assumptions!$B$57)</f>
        <v>8000</v>
      </c>
      <c r="AK31" s="18" t="n">
        <f aca="false">CHOOSE(AK2,Assumptions!$B$55,Assumptions!$B$56,Assumptions!$B$57)</f>
        <v>8000</v>
      </c>
    </row>
    <row r="32" customFormat="false" ht="15" hidden="false" customHeight="false" outlineLevel="0" collapsed="false">
      <c r="A32" s="2" t="s">
        <v>159</v>
      </c>
      <c r="B32" s="18" t="n">
        <f aca="false">IF(B1=0,Assumptions!$B$18,0)+Assumptions!$B$17+B25*Assumptions!$B$21+B24*Assumptions!$B$22</f>
        <v>45800</v>
      </c>
      <c r="C32" s="18" t="n">
        <f aca="false">IF(C1=0,Assumptions!$B$18,0)+Assumptions!$B$17+C25*Assumptions!$B$21+C24*Assumptions!$B$22</f>
        <v>800</v>
      </c>
      <c r="D32" s="18" t="n">
        <f aca="false">IF(D1=0,Assumptions!$B$18,0)+Assumptions!$B$17+D25*Assumptions!$B$21+D24*Assumptions!$B$22</f>
        <v>800</v>
      </c>
      <c r="E32" s="18" t="n">
        <f aca="false">IF(E1=0,Assumptions!$B$18,0)+Assumptions!$B$17+E25*Assumptions!$B$21+E24*Assumptions!$B$22</f>
        <v>800</v>
      </c>
      <c r="F32" s="18" t="n">
        <f aca="false">IF(F1=0,Assumptions!$B$18,0)+Assumptions!$B$17+F25*Assumptions!$B$21+F24*Assumptions!$B$22</f>
        <v>800</v>
      </c>
      <c r="G32" s="18" t="n">
        <f aca="false">IF(G1=0,Assumptions!$B$18,0)+Assumptions!$B$17+G25*Assumptions!$B$21+G24*Assumptions!$B$22</f>
        <v>800</v>
      </c>
      <c r="H32" s="18" t="n">
        <f aca="false">IF(H1=0,Assumptions!$B$18,0)+Assumptions!$B$17+H25*Assumptions!$B$21+H24*Assumptions!$B$22</f>
        <v>800</v>
      </c>
      <c r="I32" s="18" t="n">
        <f aca="false">IF(I1=0,Assumptions!$B$18,0)+Assumptions!$B$17+I25*Assumptions!$B$21+I24*Assumptions!$B$22</f>
        <v>800</v>
      </c>
      <c r="J32" s="18" t="n">
        <f aca="false">IF(J1=0,Assumptions!$B$18,0)+Assumptions!$B$17+J25*Assumptions!$B$21+J24*Assumptions!$B$22</f>
        <v>800</v>
      </c>
      <c r="K32" s="18" t="n">
        <f aca="false">IF(K1=0,Assumptions!$B$18,0)+Assumptions!$B$17+K25*Assumptions!$B$21+K24*Assumptions!$B$22</f>
        <v>800</v>
      </c>
      <c r="L32" s="18" t="n">
        <f aca="false">IF(L1=0,Assumptions!$B$18,0)+Assumptions!$B$17+L25*Assumptions!$B$21+L24*Assumptions!$B$22</f>
        <v>800</v>
      </c>
      <c r="M32" s="18" t="n">
        <f aca="false">IF(M1=0,Assumptions!$B$18,0)+Assumptions!$B$17+M25*Assumptions!$B$21+M24*Assumptions!$B$22</f>
        <v>800</v>
      </c>
      <c r="N32" s="18" t="n">
        <f aca="false">IF(N1=0,Assumptions!$B$18,0)+Assumptions!$B$17+N25*Assumptions!$B$21+N24*Assumptions!$B$22</f>
        <v>1475</v>
      </c>
      <c r="O32" s="18" t="n">
        <f aca="false">IF(O1=0,Assumptions!$B$18,0)+Assumptions!$B$17+O25*Assumptions!$B$21+O24*Assumptions!$B$22</f>
        <v>1475</v>
      </c>
      <c r="P32" s="18" t="n">
        <f aca="false">IF(P1=0,Assumptions!$B$18,0)+Assumptions!$B$17+P25*Assumptions!$B$21+P24*Assumptions!$B$22</f>
        <v>1475</v>
      </c>
      <c r="Q32" s="18" t="n">
        <f aca="false">IF(Q1=0,Assumptions!$B$18,0)+Assumptions!$B$17+Q25*Assumptions!$B$21+Q24*Assumptions!$B$22</f>
        <v>1475</v>
      </c>
      <c r="R32" s="18" t="n">
        <f aca="false">IF(R1=0,Assumptions!$B$18,0)+Assumptions!$B$17+R25*Assumptions!$B$21+R24*Assumptions!$B$22</f>
        <v>1475</v>
      </c>
      <c r="S32" s="18" t="n">
        <f aca="false">IF(S1=0,Assumptions!$B$18,0)+Assumptions!$B$17+S25*Assumptions!$B$21+S24*Assumptions!$B$22</f>
        <v>1475</v>
      </c>
      <c r="T32" s="18" t="n">
        <f aca="false">IF(T1=0,Assumptions!$B$18,0)+Assumptions!$B$17+T25*Assumptions!$B$21+T24*Assumptions!$B$22</f>
        <v>1475</v>
      </c>
      <c r="U32" s="18" t="n">
        <f aca="false">IF(U1=0,Assumptions!$B$18,0)+Assumptions!$B$17+U25*Assumptions!$B$21+U24*Assumptions!$B$22</f>
        <v>1475</v>
      </c>
      <c r="V32" s="18" t="n">
        <f aca="false">IF(V1=0,Assumptions!$B$18,0)+Assumptions!$B$17+V25*Assumptions!$B$21+V24*Assumptions!$B$22</f>
        <v>1475</v>
      </c>
      <c r="W32" s="18" t="n">
        <f aca="false">IF(W1=0,Assumptions!$B$18,0)+Assumptions!$B$17+W25*Assumptions!$B$21+W24*Assumptions!$B$22</f>
        <v>1475</v>
      </c>
      <c r="X32" s="18" t="n">
        <f aca="false">IF(X1=0,Assumptions!$B$18,0)+Assumptions!$B$17+X25*Assumptions!$B$21+X24*Assumptions!$B$22</f>
        <v>1475</v>
      </c>
      <c r="Y32" s="18" t="n">
        <f aca="false">IF(Y1=0,Assumptions!$B$18,0)+Assumptions!$B$17+Y25*Assumptions!$B$21+Y24*Assumptions!$B$22</f>
        <v>1475</v>
      </c>
      <c r="Z32" s="18" t="n">
        <f aca="false">IF(Z1=0,Assumptions!$B$18,0)+Assumptions!$B$17+Z25*Assumptions!$B$21+Z24*Assumptions!$B$22</f>
        <v>2150</v>
      </c>
      <c r="AA32" s="18" t="n">
        <f aca="false">IF(AA1=0,Assumptions!$B$18,0)+Assumptions!$B$17+AA25*Assumptions!$B$21+AA24*Assumptions!$B$22</f>
        <v>2150</v>
      </c>
      <c r="AB32" s="18" t="n">
        <f aca="false">IF(AB1=0,Assumptions!$B$18,0)+Assumptions!$B$17+AB25*Assumptions!$B$21+AB24*Assumptions!$B$22</f>
        <v>2150</v>
      </c>
      <c r="AC32" s="18" t="n">
        <f aca="false">IF(AC1=0,Assumptions!$B$18,0)+Assumptions!$B$17+AC25*Assumptions!$B$21+AC24*Assumptions!$B$22</f>
        <v>2150</v>
      </c>
      <c r="AD32" s="18" t="n">
        <f aca="false">IF(AD1=0,Assumptions!$B$18,0)+Assumptions!$B$17+AD25*Assumptions!$B$21+AD24*Assumptions!$B$22</f>
        <v>2150</v>
      </c>
      <c r="AE32" s="18" t="n">
        <f aca="false">IF(AE1=0,Assumptions!$B$18,0)+Assumptions!$B$17+AE25*Assumptions!$B$21+AE24*Assumptions!$B$22</f>
        <v>2150</v>
      </c>
      <c r="AF32" s="18" t="n">
        <f aca="false">IF(AF1=0,Assumptions!$B$18,0)+Assumptions!$B$17+AF25*Assumptions!$B$21+AF24*Assumptions!$B$22</f>
        <v>2150</v>
      </c>
      <c r="AG32" s="18" t="n">
        <f aca="false">IF(AG1=0,Assumptions!$B$18,0)+Assumptions!$B$17+AG25*Assumptions!$B$21+AG24*Assumptions!$B$22</f>
        <v>2150</v>
      </c>
      <c r="AH32" s="18" t="n">
        <f aca="false">IF(AH1=0,Assumptions!$B$18,0)+Assumptions!$B$17+AH25*Assumptions!$B$21+AH24*Assumptions!$B$22</f>
        <v>2150</v>
      </c>
      <c r="AI32" s="18" t="n">
        <f aca="false">IF(AI1=0,Assumptions!$B$18,0)+Assumptions!$B$17+AI25*Assumptions!$B$21+AI24*Assumptions!$B$22</f>
        <v>2150</v>
      </c>
      <c r="AJ32" s="18" t="n">
        <f aca="false">IF(AJ1=0,Assumptions!$B$18,0)+Assumptions!$B$17+AJ25*Assumptions!$B$21+AJ24*Assumptions!$B$22</f>
        <v>2150</v>
      </c>
      <c r="AK32" s="18" t="n">
        <f aca="false">IF(AK1=0,Assumptions!$B$18,0)+Assumptions!$B$17+AK25*Assumptions!$B$21+AK24*Assumptions!$B$22</f>
        <v>2150</v>
      </c>
    </row>
    <row r="33" customFormat="false" ht="15" hidden="false" customHeight="false" outlineLevel="0" collapsed="false">
      <c r="A33" s="3" t="s">
        <v>160</v>
      </c>
      <c r="B33" s="18" t="n">
        <f aca="false">B6+B29+B30+B31+B32</f>
        <v>255592.534722222</v>
      </c>
      <c r="C33" s="18" t="n">
        <f aca="false">C6+C29+C30+C31+C32</f>
        <v>71672.5694444445</v>
      </c>
      <c r="D33" s="18" t="n">
        <f aca="false">D6+D29+D30+D31+D32</f>
        <v>71752.6041666667</v>
      </c>
      <c r="E33" s="18" t="n">
        <f aca="false">E6+E29+E30+E31+E32</f>
        <v>25499.3055555556</v>
      </c>
      <c r="F33" s="18" t="n">
        <f aca="false">F6+F29+F30+F31+F32</f>
        <v>25579.3402777778</v>
      </c>
      <c r="G33" s="18" t="n">
        <f aca="false">G6+G29+G30+G31+G32</f>
        <v>25659.375</v>
      </c>
      <c r="H33" s="18" t="n">
        <f aca="false">H6+H29+H30+H31+H32</f>
        <v>25739.4097222222</v>
      </c>
      <c r="I33" s="18" t="n">
        <f aca="false">I6+I29+I30+I31+I32</f>
        <v>25819.4444444444</v>
      </c>
      <c r="J33" s="18" t="n">
        <f aca="false">J6+J29+J30+J31+J32</f>
        <v>25899.4791666667</v>
      </c>
      <c r="K33" s="18" t="n">
        <f aca="false">K6+K29+K30+K31+K32</f>
        <v>25979.5138888889</v>
      </c>
      <c r="L33" s="18" t="n">
        <f aca="false">L6+L29+L30+L31+L32</f>
        <v>26059.5486111111</v>
      </c>
      <c r="M33" s="18" t="n">
        <f aca="false">M6+M29+M30+M31+M32</f>
        <v>26139.5833333333</v>
      </c>
      <c r="N33" s="18" t="n">
        <f aca="false">N6+N29+N30+N31+N32</f>
        <v>19507.5625</v>
      </c>
      <c r="O33" s="18" t="n">
        <f aca="false">O6+O29+O30+O31+O32</f>
        <v>19536.375</v>
      </c>
      <c r="P33" s="18" t="n">
        <f aca="false">P6+P29+P30+P31+P32</f>
        <v>19565.1875</v>
      </c>
      <c r="Q33" s="18" t="n">
        <f aca="false">Q6+Q29+Q30+Q31+Q32</f>
        <v>19594</v>
      </c>
      <c r="R33" s="18" t="n">
        <f aca="false">R6+R29+R30+R31+R32</f>
        <v>19622.8125</v>
      </c>
      <c r="S33" s="18" t="n">
        <f aca="false">S6+S29+S30+S31+S32</f>
        <v>19651.625</v>
      </c>
      <c r="T33" s="18" t="n">
        <f aca="false">T6+T29+T30+T31+T32</f>
        <v>19680.4375</v>
      </c>
      <c r="U33" s="18" t="n">
        <f aca="false">U6+U29+U30+U31+U32</f>
        <v>19709.25</v>
      </c>
      <c r="V33" s="18" t="n">
        <f aca="false">V6+V29+V30+V31+V32</f>
        <v>19738.0625</v>
      </c>
      <c r="W33" s="18" t="n">
        <f aca="false">W6+W29+W30+W31+W32</f>
        <v>19766.875</v>
      </c>
      <c r="X33" s="18" t="n">
        <f aca="false">X6+X29+X30+X31+X32</f>
        <v>19795.6875</v>
      </c>
      <c r="Y33" s="18" t="n">
        <f aca="false">Y6+Y29+Y30+Y31+Y32</f>
        <v>19824.5</v>
      </c>
      <c r="Z33" s="18" t="n">
        <f aca="false">Z6+Z29+Z30+Z31+Z32</f>
        <v>20177.7604166667</v>
      </c>
      <c r="AA33" s="18" t="n">
        <f aca="false">AA6+AA29+AA30+AA31+AA32</f>
        <v>20201.7708333333</v>
      </c>
      <c r="AB33" s="18" t="n">
        <f aca="false">AB6+AB29+AB30+AB31+AB32</f>
        <v>20225.78125</v>
      </c>
      <c r="AC33" s="18" t="n">
        <f aca="false">AC6+AC29+AC30+AC31+AC32</f>
        <v>20249.7916666667</v>
      </c>
      <c r="AD33" s="18" t="n">
        <f aca="false">AD6+AD29+AD30+AD31+AD32</f>
        <v>20273.8020833333</v>
      </c>
      <c r="AE33" s="18" t="n">
        <f aca="false">AE6+AE29+AE30+AE31+AE32</f>
        <v>20297.8125</v>
      </c>
      <c r="AF33" s="18" t="n">
        <f aca="false">AF6+AF29+AF30+AF31+AF32</f>
        <v>20321.8229166667</v>
      </c>
      <c r="AG33" s="18" t="n">
        <f aca="false">AG6+AG29+AG30+AG31+AG32</f>
        <v>20345.8333333333</v>
      </c>
      <c r="AH33" s="18" t="n">
        <f aca="false">AH6+AH29+AH30+AH31+AH32</f>
        <v>20369.84375</v>
      </c>
      <c r="AI33" s="18" t="n">
        <f aca="false">AI6+AI29+AI30+AI31+AI32</f>
        <v>20393.8541666667</v>
      </c>
      <c r="AJ33" s="18" t="n">
        <f aca="false">AJ6+AJ29+AJ30+AJ31+AJ32</f>
        <v>20417.8645833333</v>
      </c>
      <c r="AK33" s="18" t="n">
        <f aca="false">AK6+AK29+AK30+AK31+AK32</f>
        <v>20441.875</v>
      </c>
    </row>
    <row r="34" customFormat="false" ht="15" hidden="false" customHeight="false" outlineLevel="0" collapsed="false">
      <c r="A34" s="3" t="s">
        <v>161</v>
      </c>
      <c r="B34" s="18" t="n">
        <f aca="false">B26-B33</f>
        <v>-255592.534722222</v>
      </c>
      <c r="C34" s="18" t="n">
        <f aca="false">C26-C33</f>
        <v>-71672.5694444445</v>
      </c>
      <c r="D34" s="18" t="n">
        <f aca="false">D26-D33</f>
        <v>-71752.6041666667</v>
      </c>
      <c r="E34" s="18" t="n">
        <f aca="false">E26-E33</f>
        <v>-25499.3055555556</v>
      </c>
      <c r="F34" s="18" t="n">
        <f aca="false">F26-F33</f>
        <v>-25579.3402777778</v>
      </c>
      <c r="G34" s="18" t="n">
        <f aca="false">G26-G33</f>
        <v>-25659.375</v>
      </c>
      <c r="H34" s="18" t="n">
        <f aca="false">H26-H33</f>
        <v>-25739.4097222222</v>
      </c>
      <c r="I34" s="18" t="n">
        <f aca="false">I26-I33</f>
        <v>-25819.4444444444</v>
      </c>
      <c r="J34" s="18" t="n">
        <f aca="false">J26-J33</f>
        <v>-25899.4791666667</v>
      </c>
      <c r="K34" s="18" t="n">
        <f aca="false">K26-K33</f>
        <v>-23613.3328850279</v>
      </c>
      <c r="L34" s="18" t="n">
        <f aca="false">L26-L33</f>
        <v>-24142.0526522952</v>
      </c>
      <c r="M34" s="18" t="n">
        <f aca="false">M26-M33</f>
        <v>-23117.9917031317</v>
      </c>
      <c r="N34" s="18" t="n">
        <f aca="false">N26-N33</f>
        <v>-15490.2307055341</v>
      </c>
      <c r="O34" s="18" t="n">
        <f aca="false">O26-O33</f>
        <v>-15520.7403777027</v>
      </c>
      <c r="P34" s="18" t="n">
        <f aca="false">P26-P33</f>
        <v>-15551.1526550467</v>
      </c>
      <c r="Q34" s="18" t="n">
        <f aca="false">Q26-Q33</f>
        <v>-15581.4724073072</v>
      </c>
      <c r="R34" s="18" t="n">
        <f aca="false">R26-R33</f>
        <v>-15611.7042607385</v>
      </c>
      <c r="S34" s="18" t="n">
        <f aca="false">S26-S33</f>
        <v>-15641.852610282</v>
      </c>
      <c r="T34" s="18" t="n">
        <f aca="false">T26-T33</f>
        <v>-15671.9216311321</v>
      </c>
      <c r="U34" s="18" t="n">
        <f aca="false">U26-U33</f>
        <v>-15701.9152897235</v>
      </c>
      <c r="V34" s="18" t="n">
        <f aca="false">V26-V33</f>
        <v>-15731.8373541691</v>
      </c>
      <c r="W34" s="18" t="n">
        <f aca="false">W26-W33</f>
        <v>-15761.6914041762</v>
      </c>
      <c r="X34" s="18" t="n">
        <f aca="false">X26-X33</f>
        <v>-15791.4808404668</v>
      </c>
      <c r="Y34" s="18" t="n">
        <f aca="false">Y26-Y33</f>
        <v>-15821.2088937266</v>
      </c>
      <c r="Z34" s="18" t="n">
        <f aca="false">Z26-Z33</f>
        <v>-12991.9708164405</v>
      </c>
      <c r="AA34" s="18" t="n">
        <f aca="false">AA26-AA33</f>
        <v>-13016.7606743025</v>
      </c>
      <c r="AB34" s="18" t="n">
        <f aca="false">AB26-AB33</f>
        <v>-13041.4979038886</v>
      </c>
      <c r="AC34" s="18" t="n">
        <f aca="false">AC26-AC33</f>
        <v>-13066.1851366124</v>
      </c>
      <c r="AD34" s="18" t="n">
        <f aca="false">AD26-AD33</f>
        <v>-13090.8248723172</v>
      </c>
      <c r="AE34" s="18" t="n">
        <f aca="false">AE26-AE33</f>
        <v>-13115.4194858538</v>
      </c>
      <c r="AF34" s="18" t="n">
        <f aca="false">AF26-AF33</f>
        <v>-13413.006629338</v>
      </c>
      <c r="AG34" s="18" t="n">
        <f aca="false">AG26-AG33</f>
        <v>-13438.1880905281</v>
      </c>
      <c r="AH34" s="18" t="n">
        <f aca="false">AH26-AH33</f>
        <v>-13463.2993917083</v>
      </c>
      <c r="AI34" s="18" t="n">
        <f aca="false">AI26-AI33</f>
        <v>-13488.344040879</v>
      </c>
      <c r="AJ34" s="18" t="n">
        <f aca="false">AJ26-AJ33</f>
        <v>-13513.3253706407</v>
      </c>
      <c r="AK34" s="18" t="n">
        <f aca="false">AK26-AK33</f>
        <v>-13538.2465469638</v>
      </c>
    </row>
    <row r="35" customFormat="false" ht="15" hidden="false" customHeight="false" outlineLevel="0" collapsed="false">
      <c r="A35" s="3" t="s">
        <v>162</v>
      </c>
      <c r="B35" s="18" t="n">
        <f aca="false">B34</f>
        <v>-255592.534722222</v>
      </c>
      <c r="C35" s="18" t="n">
        <f aca="false">B35+C34</f>
        <v>-327265.104166667</v>
      </c>
      <c r="D35" s="18" t="n">
        <f aca="false">C35+D34</f>
        <v>-399017.708333333</v>
      </c>
      <c r="E35" s="18" t="n">
        <f aca="false">D35+E34</f>
        <v>-424517.013888889</v>
      </c>
      <c r="F35" s="18" t="n">
        <f aca="false">E35+F34</f>
        <v>-450096.354166667</v>
      </c>
      <c r="G35" s="18" t="n">
        <f aca="false">F35+G34</f>
        <v>-475755.729166667</v>
      </c>
      <c r="H35" s="18" t="n">
        <f aca="false">G35+H34</f>
        <v>-501495.138888889</v>
      </c>
      <c r="I35" s="18" t="n">
        <f aca="false">H35+I34</f>
        <v>-527314.583333333</v>
      </c>
      <c r="J35" s="18" t="n">
        <f aca="false">I35+J34</f>
        <v>-553214.0625</v>
      </c>
      <c r="K35" s="18" t="n">
        <f aca="false">J35+K34</f>
        <v>-576827.395385028</v>
      </c>
      <c r="L35" s="18" t="n">
        <f aca="false">K35+L34</f>
        <v>-600969.448037323</v>
      </c>
      <c r="M35" s="18" t="n">
        <f aca="false">L35+M34</f>
        <v>-624087.439740455</v>
      </c>
      <c r="N35" s="18" t="n">
        <f aca="false">M35+N34</f>
        <v>-639577.670445989</v>
      </c>
      <c r="O35" s="18" t="n">
        <f aca="false">N35+O34</f>
        <v>-655098.410823692</v>
      </c>
      <c r="P35" s="18" t="n">
        <f aca="false">O35+P34</f>
        <v>-670649.563478738</v>
      </c>
      <c r="Q35" s="18" t="n">
        <f aca="false">P35+Q34</f>
        <v>-686231.035886045</v>
      </c>
      <c r="R35" s="18" t="n">
        <f aca="false">Q35+R34</f>
        <v>-701842.740146784</v>
      </c>
      <c r="S35" s="18" t="n">
        <f aca="false">R35+S34</f>
        <v>-717484.592757066</v>
      </c>
      <c r="T35" s="18" t="n">
        <f aca="false">S35+T34</f>
        <v>-733156.514388198</v>
      </c>
      <c r="U35" s="18" t="n">
        <f aca="false">T35+U34</f>
        <v>-748858.429677922</v>
      </c>
      <c r="V35" s="18" t="n">
        <f aca="false">U35+V34</f>
        <v>-764590.267032091</v>
      </c>
      <c r="W35" s="18" t="n">
        <f aca="false">V35+W34</f>
        <v>-780351.958436267</v>
      </c>
      <c r="X35" s="18" t="n">
        <f aca="false">W35+X34</f>
        <v>-796143.439276734</v>
      </c>
      <c r="Y35" s="18" t="n">
        <f aca="false">X35+Y34</f>
        <v>-811964.64817046</v>
      </c>
      <c r="Z35" s="18" t="n">
        <f aca="false">Y35+Z34</f>
        <v>-824956.618986901</v>
      </c>
      <c r="AA35" s="18" t="n">
        <f aca="false">Z35+AA34</f>
        <v>-837973.379661204</v>
      </c>
      <c r="AB35" s="18" t="n">
        <f aca="false">AA35+AB34</f>
        <v>-851014.877565092</v>
      </c>
      <c r="AC35" s="18" t="n">
        <f aca="false">AB35+AC34</f>
        <v>-864081.062701704</v>
      </c>
      <c r="AD35" s="18" t="n">
        <f aca="false">AC35+AD34</f>
        <v>-877171.887574022</v>
      </c>
      <c r="AE35" s="18" t="n">
        <f aca="false">AD35+AE34</f>
        <v>-890287.307059876</v>
      </c>
      <c r="AF35" s="18" t="n">
        <f aca="false">AE35+AF34</f>
        <v>-903700.313689214</v>
      </c>
      <c r="AG35" s="18" t="n">
        <f aca="false">AF35+AG34</f>
        <v>-917138.501779742</v>
      </c>
      <c r="AH35" s="18" t="n">
        <f aca="false">AG35+AH34</f>
        <v>-930601.80117145</v>
      </c>
      <c r="AI35" s="18" t="n">
        <f aca="false">AH35+AI34</f>
        <v>-944090.145212329</v>
      </c>
      <c r="AJ35" s="18" t="n">
        <f aca="false">AI35+AJ34</f>
        <v>-957603.470582969</v>
      </c>
      <c r="AK35" s="18" t="n">
        <f aca="false">AJ35+AK34</f>
        <v>-971141.717129933</v>
      </c>
    </row>
    <row r="36" customFormat="false" ht="15" hidden="false" customHeight="false" outlineLevel="0" collapsed="false">
      <c r="A36" s="2" t="s">
        <v>163</v>
      </c>
      <c r="B36" s="18" t="n">
        <f aca="false">B26</f>
        <v>0</v>
      </c>
      <c r="C36" s="18" t="n">
        <f aca="false">B36+C26</f>
        <v>0</v>
      </c>
      <c r="D36" s="18" t="n">
        <f aca="false">C36+D26</f>
        <v>0</v>
      </c>
      <c r="E36" s="18" t="n">
        <f aca="false">D36+E26</f>
        <v>0</v>
      </c>
      <c r="F36" s="18" t="n">
        <f aca="false">E36+F26</f>
        <v>0</v>
      </c>
      <c r="G36" s="18" t="n">
        <f aca="false">F36+G26</f>
        <v>0</v>
      </c>
      <c r="H36" s="18" t="n">
        <f aca="false">G36+H26</f>
        <v>0</v>
      </c>
      <c r="I36" s="18" t="n">
        <f aca="false">H36+I26</f>
        <v>0</v>
      </c>
      <c r="J36" s="18" t="n">
        <f aca="false">I36+J26</f>
        <v>0</v>
      </c>
      <c r="K36" s="18" t="n">
        <f aca="false">J36+K26</f>
        <v>2366.181003861</v>
      </c>
      <c r="L36" s="18" t="n">
        <f aca="false">K36+L26</f>
        <v>4283.67696267696</v>
      </c>
      <c r="M36" s="18" t="n">
        <f aca="false">L36+M26</f>
        <v>7305.26859287859</v>
      </c>
      <c r="N36" s="18" t="n">
        <f aca="false">M36+N26</f>
        <v>11322.6003873445</v>
      </c>
      <c r="O36" s="18" t="n">
        <f aca="false">N36+O26</f>
        <v>15338.2350096418</v>
      </c>
      <c r="P36" s="18" t="n">
        <f aca="false">O36+P26</f>
        <v>19352.2698545951</v>
      </c>
      <c r="Q36" s="18" t="n">
        <f aca="false">P36+Q26</f>
        <v>23364.7974472879</v>
      </c>
      <c r="R36" s="18" t="n">
        <f aca="false">Q36+R26</f>
        <v>27375.9056865495</v>
      </c>
      <c r="S36" s="18" t="n">
        <f aca="false">R36+S26</f>
        <v>31385.6780762675</v>
      </c>
      <c r="T36" s="18" t="n">
        <f aca="false">S36+T26</f>
        <v>35394.1939451353</v>
      </c>
      <c r="U36" s="18" t="n">
        <f aca="false">T36+U26</f>
        <v>39401.5286554118</v>
      </c>
      <c r="V36" s="18" t="n">
        <f aca="false">U36+V26</f>
        <v>43407.7538012427</v>
      </c>
      <c r="W36" s="18" t="n">
        <f aca="false">V36+W26</f>
        <v>47412.9373970664</v>
      </c>
      <c r="X36" s="18" t="n">
        <f aca="false">W36+X26</f>
        <v>51417.1440565996</v>
      </c>
      <c r="Y36" s="18" t="n">
        <f aca="false">X36+Y26</f>
        <v>55420.435162873</v>
      </c>
      <c r="Z36" s="18" t="n">
        <f aca="false">Y36+Z26</f>
        <v>62606.2247630992</v>
      </c>
      <c r="AA36" s="18" t="n">
        <f aca="false">Z36+AA26</f>
        <v>69791.23492213</v>
      </c>
      <c r="AB36" s="18" t="n">
        <f aca="false">AA36+AB26</f>
        <v>76975.5182682414</v>
      </c>
      <c r="AC36" s="18" t="n">
        <f aca="false">AB36+AC26</f>
        <v>84159.1247982957</v>
      </c>
      <c r="AD36" s="18" t="n">
        <f aca="false">AC36+AD26</f>
        <v>91342.1020093118</v>
      </c>
      <c r="AE36" s="18" t="n">
        <f aca="false">AD36+AE26</f>
        <v>98524.495023458</v>
      </c>
      <c r="AF36" s="18" t="n">
        <f aca="false">AE36+AF26</f>
        <v>105433.311310787</v>
      </c>
      <c r="AG36" s="18" t="n">
        <f aca="false">AF36+AG26</f>
        <v>112340.956553592</v>
      </c>
      <c r="AH36" s="18" t="n">
        <f aca="false">AG36+AH26</f>
        <v>119247.500911884</v>
      </c>
      <c r="AI36" s="18" t="n">
        <f aca="false">AH36+AI26</f>
        <v>126153.011037671</v>
      </c>
      <c r="AJ36" s="18" t="n">
        <f aca="false">AI36+AJ26</f>
        <v>133057.550250364</v>
      </c>
      <c r="AK36" s="18" t="n">
        <f aca="false">AJ36+AK26</f>
        <v>139961.1787034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7" min="2" style="0" width="11"/>
  </cols>
  <sheetData>
    <row r="1" customFormat="false" ht="15" hidden="false" customHeight="false" outlineLevel="0" collapsed="false">
      <c r="A1" s="2" t="s">
        <v>128</v>
      </c>
      <c r="B1" s="15" t="n">
        <v>0</v>
      </c>
      <c r="C1" s="15" t="n">
        <v>1</v>
      </c>
      <c r="D1" s="15" t="n">
        <v>2</v>
      </c>
      <c r="E1" s="15" t="n">
        <v>3</v>
      </c>
      <c r="F1" s="15" t="n">
        <v>4</v>
      </c>
      <c r="G1" s="15" t="n">
        <v>5</v>
      </c>
      <c r="H1" s="15" t="n">
        <v>6</v>
      </c>
      <c r="I1" s="15" t="n">
        <v>7</v>
      </c>
      <c r="J1" s="15" t="n">
        <v>8</v>
      </c>
      <c r="K1" s="15" t="n">
        <v>9</v>
      </c>
      <c r="L1" s="15" t="n">
        <v>10</v>
      </c>
      <c r="M1" s="15" t="n">
        <v>11</v>
      </c>
      <c r="N1" s="15" t="n">
        <v>12</v>
      </c>
      <c r="O1" s="15" t="n">
        <v>13</v>
      </c>
      <c r="P1" s="15" t="n">
        <v>14</v>
      </c>
      <c r="Q1" s="15" t="n">
        <v>15</v>
      </c>
      <c r="R1" s="15" t="n">
        <v>16</v>
      </c>
      <c r="S1" s="15" t="n">
        <v>17</v>
      </c>
      <c r="T1" s="15" t="n">
        <v>18</v>
      </c>
      <c r="U1" s="15" t="n">
        <v>19</v>
      </c>
      <c r="V1" s="15" t="n">
        <v>20</v>
      </c>
      <c r="W1" s="15" t="n">
        <v>21</v>
      </c>
      <c r="X1" s="15" t="n">
        <v>22</v>
      </c>
      <c r="Y1" s="15" t="n">
        <v>23</v>
      </c>
      <c r="Z1" s="15" t="n">
        <v>24</v>
      </c>
      <c r="AA1" s="15" t="n">
        <v>25</v>
      </c>
      <c r="AB1" s="15" t="n">
        <v>26</v>
      </c>
      <c r="AC1" s="15" t="n">
        <v>27</v>
      </c>
      <c r="AD1" s="15" t="n">
        <v>28</v>
      </c>
      <c r="AE1" s="15" t="n">
        <v>29</v>
      </c>
      <c r="AF1" s="15" t="n">
        <v>30</v>
      </c>
      <c r="AG1" s="15" t="n">
        <v>31</v>
      </c>
      <c r="AH1" s="15" t="n">
        <v>32</v>
      </c>
      <c r="AI1" s="15" t="n">
        <v>33</v>
      </c>
      <c r="AJ1" s="15" t="n">
        <v>34</v>
      </c>
      <c r="AK1" s="15" t="n">
        <v>35</v>
      </c>
    </row>
    <row r="2" customFormat="false" ht="15" hidden="false" customHeight="false" outlineLevel="0" collapsed="false">
      <c r="A2" s="2" t="s">
        <v>129</v>
      </c>
      <c r="B2" s="15" t="n">
        <f aca="false">1+INT(B1/12)</f>
        <v>1</v>
      </c>
      <c r="C2" s="15" t="n">
        <f aca="false">1+INT(C1/12)</f>
        <v>1</v>
      </c>
      <c r="D2" s="15" t="n">
        <f aca="false">1+INT(D1/12)</f>
        <v>1</v>
      </c>
      <c r="E2" s="15" t="n">
        <f aca="false">1+INT(E1/12)</f>
        <v>1</v>
      </c>
      <c r="F2" s="15" t="n">
        <f aca="false">1+INT(F1/12)</f>
        <v>1</v>
      </c>
      <c r="G2" s="15" t="n">
        <f aca="false">1+INT(G1/12)</f>
        <v>1</v>
      </c>
      <c r="H2" s="15" t="n">
        <f aca="false">1+INT(H1/12)</f>
        <v>1</v>
      </c>
      <c r="I2" s="15" t="n">
        <f aca="false">1+INT(I1/12)</f>
        <v>1</v>
      </c>
      <c r="J2" s="15" t="n">
        <f aca="false">1+INT(J1/12)</f>
        <v>1</v>
      </c>
      <c r="K2" s="15" t="n">
        <f aca="false">1+INT(K1/12)</f>
        <v>1</v>
      </c>
      <c r="L2" s="15" t="n">
        <f aca="false">1+INT(L1/12)</f>
        <v>1</v>
      </c>
      <c r="M2" s="15" t="n">
        <f aca="false">1+INT(M1/12)</f>
        <v>1</v>
      </c>
      <c r="N2" s="15" t="n">
        <f aca="false">1+INT(N1/12)</f>
        <v>2</v>
      </c>
      <c r="O2" s="15" t="n">
        <f aca="false">1+INT(O1/12)</f>
        <v>2</v>
      </c>
      <c r="P2" s="15" t="n">
        <f aca="false">1+INT(P1/12)</f>
        <v>2</v>
      </c>
      <c r="Q2" s="15" t="n">
        <f aca="false">1+INT(Q1/12)</f>
        <v>2</v>
      </c>
      <c r="R2" s="15" t="n">
        <f aca="false">1+INT(R1/12)</f>
        <v>2</v>
      </c>
      <c r="S2" s="15" t="n">
        <f aca="false">1+INT(S1/12)</f>
        <v>2</v>
      </c>
      <c r="T2" s="15" t="n">
        <f aca="false">1+INT(T1/12)</f>
        <v>2</v>
      </c>
      <c r="U2" s="15" t="n">
        <f aca="false">1+INT(U1/12)</f>
        <v>2</v>
      </c>
      <c r="V2" s="15" t="n">
        <f aca="false">1+INT(V1/12)</f>
        <v>2</v>
      </c>
      <c r="W2" s="15" t="n">
        <f aca="false">1+INT(W1/12)</f>
        <v>2</v>
      </c>
      <c r="X2" s="15" t="n">
        <f aca="false">1+INT(X1/12)</f>
        <v>2</v>
      </c>
      <c r="Y2" s="15" t="n">
        <f aca="false">1+INT(Y1/12)</f>
        <v>2</v>
      </c>
      <c r="Z2" s="15" t="n">
        <f aca="false">1+INT(Z1/12)</f>
        <v>3</v>
      </c>
      <c r="AA2" s="15" t="n">
        <f aca="false">1+INT(AA1/12)</f>
        <v>3</v>
      </c>
      <c r="AB2" s="15" t="n">
        <f aca="false">1+INT(AB1/12)</f>
        <v>3</v>
      </c>
      <c r="AC2" s="15" t="n">
        <f aca="false">1+INT(AC1/12)</f>
        <v>3</v>
      </c>
      <c r="AD2" s="15" t="n">
        <f aca="false">1+INT(AD1/12)</f>
        <v>3</v>
      </c>
      <c r="AE2" s="15" t="n">
        <f aca="false">1+INT(AE1/12)</f>
        <v>3</v>
      </c>
      <c r="AF2" s="15" t="n">
        <f aca="false">1+INT(AF1/12)</f>
        <v>3</v>
      </c>
      <c r="AG2" s="15" t="n">
        <f aca="false">1+INT(AG1/12)</f>
        <v>3</v>
      </c>
      <c r="AH2" s="15" t="n">
        <f aca="false">1+INT(AH1/12)</f>
        <v>3</v>
      </c>
      <c r="AI2" s="15" t="n">
        <f aca="false">1+INT(AI1/12)</f>
        <v>3</v>
      </c>
      <c r="AJ2" s="15" t="n">
        <f aca="false">1+INT(AJ1/12)</f>
        <v>3</v>
      </c>
      <c r="AK2" s="15" t="n">
        <f aca="false">1+INT(AK1/12)</f>
        <v>3</v>
      </c>
    </row>
    <row r="3" customFormat="false" ht="15" hidden="false" customHeight="false" outlineLevel="0" collapsed="false">
      <c r="A3" s="2" t="s">
        <v>130</v>
      </c>
      <c r="B3" s="15" t="n">
        <f aca="false">IF(B1&gt;=Assumptions!$C$64,1,0)</f>
        <v>0</v>
      </c>
      <c r="C3" s="15" t="n">
        <f aca="false">IF(C1&gt;=Assumptions!$C$64,1,0)</f>
        <v>0</v>
      </c>
      <c r="D3" s="15" t="n">
        <f aca="false">IF(D1&gt;=Assumptions!$C$64,1,0)</f>
        <v>0</v>
      </c>
      <c r="E3" s="15" t="n">
        <f aca="false">IF(E1&gt;=Assumptions!$C$64,1,0)</f>
        <v>0</v>
      </c>
      <c r="F3" s="15" t="n">
        <f aca="false">IF(F1&gt;=Assumptions!$C$64,1,0)</f>
        <v>0</v>
      </c>
      <c r="G3" s="15" t="n">
        <f aca="false">IF(G1&gt;=Assumptions!$C$64,1,0)</f>
        <v>0</v>
      </c>
      <c r="H3" s="15" t="n">
        <f aca="false">IF(H1&gt;=Assumptions!$C$64,1,0)</f>
        <v>0</v>
      </c>
      <c r="I3" s="15" t="n">
        <f aca="false">IF(I1&gt;=Assumptions!$C$64,1,0)</f>
        <v>0</v>
      </c>
      <c r="J3" s="15" t="n">
        <f aca="false">IF(J1&gt;=Assumptions!$C$64,1,0)</f>
        <v>0</v>
      </c>
      <c r="K3" s="15" t="n">
        <f aca="false">IF(K1&gt;=Assumptions!$C$64,1,0)</f>
        <v>0</v>
      </c>
      <c r="L3" s="15" t="n">
        <f aca="false">IF(L1&gt;=Assumptions!$C$64,1,0)</f>
        <v>0</v>
      </c>
      <c r="M3" s="15" t="n">
        <f aca="false">IF(M1&gt;=Assumptions!$C$64,1,0)</f>
        <v>0</v>
      </c>
      <c r="N3" s="15" t="n">
        <f aca="false">IF(N1&gt;=Assumptions!$C$64,1,0)</f>
        <v>0</v>
      </c>
      <c r="O3" s="15" t="n">
        <f aca="false">IF(O1&gt;=Assumptions!$C$64,1,0)</f>
        <v>0</v>
      </c>
      <c r="P3" s="15" t="n">
        <f aca="false">IF(P1&gt;=Assumptions!$C$64,1,0)</f>
        <v>0</v>
      </c>
      <c r="Q3" s="15" t="n">
        <f aca="false">IF(Q1&gt;=Assumptions!$C$64,1,0)</f>
        <v>0</v>
      </c>
      <c r="R3" s="15" t="n">
        <f aca="false">IF(R1&gt;=Assumptions!$C$64,1,0)</f>
        <v>0</v>
      </c>
      <c r="S3" s="15" t="n">
        <f aca="false">IF(S1&gt;=Assumptions!$C$64,1,0)</f>
        <v>0</v>
      </c>
      <c r="T3" s="15" t="n">
        <f aca="false">IF(T1&gt;=Assumptions!$C$64,1,0)</f>
        <v>0</v>
      </c>
      <c r="U3" s="15" t="n">
        <f aca="false">IF(U1&gt;=Assumptions!$C$64,1,0)</f>
        <v>0</v>
      </c>
      <c r="V3" s="15" t="n">
        <f aca="false">IF(V1&gt;=Assumptions!$C$64,1,0)</f>
        <v>0</v>
      </c>
      <c r="W3" s="15" t="n">
        <f aca="false">IF(W1&gt;=Assumptions!$C$64,1,0)</f>
        <v>1</v>
      </c>
      <c r="X3" s="15" t="n">
        <f aca="false">IF(X1&gt;=Assumptions!$C$64,1,0)</f>
        <v>1</v>
      </c>
      <c r="Y3" s="15" t="n">
        <f aca="false">IF(Y1&gt;=Assumptions!$C$64,1,0)</f>
        <v>1</v>
      </c>
      <c r="Z3" s="15" t="n">
        <f aca="false">IF(Z1&gt;=Assumptions!$C$64,1,0)</f>
        <v>1</v>
      </c>
      <c r="AA3" s="15" t="n">
        <f aca="false">IF(AA1&gt;=Assumptions!$C$64,1,0)</f>
        <v>1</v>
      </c>
      <c r="AB3" s="15" t="n">
        <f aca="false">IF(AB1&gt;=Assumptions!$C$64,1,0)</f>
        <v>1</v>
      </c>
      <c r="AC3" s="15" t="n">
        <f aca="false">IF(AC1&gt;=Assumptions!$C$64,1,0)</f>
        <v>1</v>
      </c>
      <c r="AD3" s="15" t="n">
        <f aca="false">IF(AD1&gt;=Assumptions!$C$64,1,0)</f>
        <v>1</v>
      </c>
      <c r="AE3" s="15" t="n">
        <f aca="false">IF(AE1&gt;=Assumptions!$C$64,1,0)</f>
        <v>1</v>
      </c>
      <c r="AF3" s="15" t="n">
        <f aca="false">IF(AF1&gt;=Assumptions!$C$64,1,0)</f>
        <v>1</v>
      </c>
      <c r="AG3" s="15" t="n">
        <f aca="false">IF(AG1&gt;=Assumptions!$C$64,1,0)</f>
        <v>1</v>
      </c>
      <c r="AH3" s="15" t="n">
        <f aca="false">IF(AH1&gt;=Assumptions!$C$64,1,0)</f>
        <v>1</v>
      </c>
      <c r="AI3" s="15" t="n">
        <f aca="false">IF(AI1&gt;=Assumptions!$C$64,1,0)</f>
        <v>1</v>
      </c>
      <c r="AJ3" s="15" t="n">
        <f aca="false">IF(AJ1&gt;=Assumptions!$C$64,1,0)</f>
        <v>1</v>
      </c>
      <c r="AK3" s="15" t="n">
        <f aca="false">IF(AK1&gt;=Assumptions!$C$64,1,0)</f>
        <v>1</v>
      </c>
    </row>
    <row r="4" customFormat="false" ht="15" hidden="false" customHeight="false" outlineLevel="0" collapsed="false">
      <c r="A4" s="2" t="s">
        <v>131</v>
      </c>
      <c r="B4" s="16" t="n">
        <f aca="false">IF(B3=1,Assumptions!$C$65,1)</f>
        <v>1</v>
      </c>
      <c r="C4" s="16" t="n">
        <f aca="false">IF(C3=1,Assumptions!$C$65,1)</f>
        <v>1</v>
      </c>
      <c r="D4" s="16" t="n">
        <f aca="false">IF(D3=1,Assumptions!$C$65,1)</f>
        <v>1</v>
      </c>
      <c r="E4" s="16" t="n">
        <f aca="false">IF(E3=1,Assumptions!$C$65,1)</f>
        <v>1</v>
      </c>
      <c r="F4" s="16" t="n">
        <f aca="false">IF(F3=1,Assumptions!$C$65,1)</f>
        <v>1</v>
      </c>
      <c r="G4" s="16" t="n">
        <f aca="false">IF(G3=1,Assumptions!$C$65,1)</f>
        <v>1</v>
      </c>
      <c r="H4" s="16" t="n">
        <f aca="false">IF(H3=1,Assumptions!$C$65,1)</f>
        <v>1</v>
      </c>
      <c r="I4" s="16" t="n">
        <f aca="false">IF(I3=1,Assumptions!$C$65,1)</f>
        <v>1</v>
      </c>
      <c r="J4" s="16" t="n">
        <f aca="false">IF(J3=1,Assumptions!$C$65,1)</f>
        <v>1</v>
      </c>
      <c r="K4" s="16" t="n">
        <f aca="false">IF(K3=1,Assumptions!$C$65,1)</f>
        <v>1</v>
      </c>
      <c r="L4" s="16" t="n">
        <f aca="false">IF(L3=1,Assumptions!$C$65,1)</f>
        <v>1</v>
      </c>
      <c r="M4" s="16" t="n">
        <f aca="false">IF(M3=1,Assumptions!$C$65,1)</f>
        <v>1</v>
      </c>
      <c r="N4" s="16" t="n">
        <f aca="false">IF(N3=1,Assumptions!$C$65,1)</f>
        <v>1</v>
      </c>
      <c r="O4" s="16" t="n">
        <f aca="false">IF(O3=1,Assumptions!$C$65,1)</f>
        <v>1</v>
      </c>
      <c r="P4" s="16" t="n">
        <f aca="false">IF(P3=1,Assumptions!$C$65,1)</f>
        <v>1</v>
      </c>
      <c r="Q4" s="16" t="n">
        <f aca="false">IF(Q3=1,Assumptions!$C$65,1)</f>
        <v>1</v>
      </c>
      <c r="R4" s="16" t="n">
        <f aca="false">IF(R3=1,Assumptions!$C$65,1)</f>
        <v>1</v>
      </c>
      <c r="S4" s="16" t="n">
        <f aca="false">IF(S3=1,Assumptions!$C$65,1)</f>
        <v>1</v>
      </c>
      <c r="T4" s="16" t="n">
        <f aca="false">IF(T3=1,Assumptions!$C$65,1)</f>
        <v>1</v>
      </c>
      <c r="U4" s="16" t="n">
        <f aca="false">IF(U3=1,Assumptions!$C$65,1)</f>
        <v>1</v>
      </c>
      <c r="V4" s="16" t="n">
        <f aca="false">IF(V3=1,Assumptions!$C$65,1)</f>
        <v>1</v>
      </c>
      <c r="W4" s="16" t="n">
        <f aca="false">IF(W3=1,Assumptions!$C$65,1)</f>
        <v>0.8</v>
      </c>
      <c r="X4" s="16" t="n">
        <f aca="false">IF(X3=1,Assumptions!$C$65,1)</f>
        <v>0.8</v>
      </c>
      <c r="Y4" s="16" t="n">
        <f aca="false">IF(Y3=1,Assumptions!$C$65,1)</f>
        <v>0.8</v>
      </c>
      <c r="Z4" s="16" t="n">
        <f aca="false">IF(Z3=1,Assumptions!$C$65,1)</f>
        <v>0.8</v>
      </c>
      <c r="AA4" s="16" t="n">
        <f aca="false">IF(AA3=1,Assumptions!$C$65,1)</f>
        <v>0.8</v>
      </c>
      <c r="AB4" s="16" t="n">
        <f aca="false">IF(AB3=1,Assumptions!$C$65,1)</f>
        <v>0.8</v>
      </c>
      <c r="AC4" s="16" t="n">
        <f aca="false">IF(AC3=1,Assumptions!$C$65,1)</f>
        <v>0.8</v>
      </c>
      <c r="AD4" s="16" t="n">
        <f aca="false">IF(AD3=1,Assumptions!$C$65,1)</f>
        <v>0.8</v>
      </c>
      <c r="AE4" s="16" t="n">
        <f aca="false">IF(AE3=1,Assumptions!$C$65,1)</f>
        <v>0.8</v>
      </c>
      <c r="AF4" s="16" t="n">
        <f aca="false">IF(AF3=1,Assumptions!$C$65,1)</f>
        <v>0.8</v>
      </c>
      <c r="AG4" s="16" t="n">
        <f aca="false">IF(AG3=1,Assumptions!$C$65,1)</f>
        <v>0.8</v>
      </c>
      <c r="AH4" s="16" t="n">
        <f aca="false">IF(AH3=1,Assumptions!$C$65,1)</f>
        <v>0.8</v>
      </c>
      <c r="AI4" s="16" t="n">
        <f aca="false">IF(AI3=1,Assumptions!$C$65,1)</f>
        <v>0.8</v>
      </c>
      <c r="AJ4" s="16" t="n">
        <f aca="false">IF(AJ3=1,Assumptions!$C$65,1)</f>
        <v>0.8</v>
      </c>
      <c r="AK4" s="16" t="n">
        <f aca="false">IF(AK3=1,Assumptions!$C$65,1)</f>
        <v>0.8</v>
      </c>
    </row>
    <row r="5" customFormat="false" ht="15" hidden="false" customHeight="false" outlineLevel="0" collapsed="false">
      <c r="A5" s="2" t="s">
        <v>132</v>
      </c>
      <c r="B5" s="17" t="n">
        <f aca="false">Assumptions!$C$34*IF(B3=1,Assumptions!$C$66,1)</f>
        <v>45</v>
      </c>
      <c r="C5" s="17" t="n">
        <f aca="false">Assumptions!$C$34*IF(C3=1,Assumptions!$C$66,1)</f>
        <v>45</v>
      </c>
      <c r="D5" s="17" t="n">
        <f aca="false">Assumptions!$C$34*IF(D3=1,Assumptions!$C$66,1)</f>
        <v>45</v>
      </c>
      <c r="E5" s="17" t="n">
        <f aca="false">Assumptions!$C$34*IF(E3=1,Assumptions!$C$66,1)</f>
        <v>45</v>
      </c>
      <c r="F5" s="17" t="n">
        <f aca="false">Assumptions!$C$34*IF(F3=1,Assumptions!$C$66,1)</f>
        <v>45</v>
      </c>
      <c r="G5" s="17" t="n">
        <f aca="false">Assumptions!$C$34*IF(G3=1,Assumptions!$C$66,1)</f>
        <v>45</v>
      </c>
      <c r="H5" s="17" t="n">
        <f aca="false">Assumptions!$C$34*IF(H3=1,Assumptions!$C$66,1)</f>
        <v>45</v>
      </c>
      <c r="I5" s="17" t="n">
        <f aca="false">Assumptions!$C$34*IF(I3=1,Assumptions!$C$66,1)</f>
        <v>45</v>
      </c>
      <c r="J5" s="17" t="n">
        <f aca="false">Assumptions!$C$34*IF(J3=1,Assumptions!$C$66,1)</f>
        <v>45</v>
      </c>
      <c r="K5" s="17" t="n">
        <f aca="false">Assumptions!$C$34*IF(K3=1,Assumptions!$C$66,1)</f>
        <v>45</v>
      </c>
      <c r="L5" s="17" t="n">
        <f aca="false">Assumptions!$C$34*IF(L3=1,Assumptions!$C$66,1)</f>
        <v>45</v>
      </c>
      <c r="M5" s="17" t="n">
        <f aca="false">Assumptions!$C$34*IF(M3=1,Assumptions!$C$66,1)</f>
        <v>45</v>
      </c>
      <c r="N5" s="17" t="n">
        <f aca="false">Assumptions!$C$34*IF(N3=1,Assumptions!$C$66,1)</f>
        <v>45</v>
      </c>
      <c r="O5" s="17" t="n">
        <f aca="false">Assumptions!$C$34*IF(O3=1,Assumptions!$C$66,1)</f>
        <v>45</v>
      </c>
      <c r="P5" s="17" t="n">
        <f aca="false">Assumptions!$C$34*IF(P3=1,Assumptions!$C$66,1)</f>
        <v>45</v>
      </c>
      <c r="Q5" s="17" t="n">
        <f aca="false">Assumptions!$C$34*IF(Q3=1,Assumptions!$C$66,1)</f>
        <v>45</v>
      </c>
      <c r="R5" s="17" t="n">
        <f aca="false">Assumptions!$C$34*IF(R3=1,Assumptions!$C$66,1)</f>
        <v>45</v>
      </c>
      <c r="S5" s="17" t="n">
        <f aca="false">Assumptions!$C$34*IF(S3=1,Assumptions!$C$66,1)</f>
        <v>45</v>
      </c>
      <c r="T5" s="17" t="n">
        <f aca="false">Assumptions!$C$34*IF(T3=1,Assumptions!$C$66,1)</f>
        <v>45</v>
      </c>
      <c r="U5" s="17" t="n">
        <f aca="false">Assumptions!$C$34*IF(U3=1,Assumptions!$C$66,1)</f>
        <v>45</v>
      </c>
      <c r="V5" s="17" t="n">
        <f aca="false">Assumptions!$C$34*IF(V3=1,Assumptions!$C$66,1)</f>
        <v>45</v>
      </c>
      <c r="W5" s="17" t="n">
        <f aca="false">Assumptions!$C$34*IF(W3=1,Assumptions!$C$66,1)</f>
        <v>40.5</v>
      </c>
      <c r="X5" s="17" t="n">
        <f aca="false">Assumptions!$C$34*IF(X3=1,Assumptions!$C$66,1)</f>
        <v>40.5</v>
      </c>
      <c r="Y5" s="17" t="n">
        <f aca="false">Assumptions!$C$34*IF(Y3=1,Assumptions!$C$66,1)</f>
        <v>40.5</v>
      </c>
      <c r="Z5" s="17" t="n">
        <f aca="false">Assumptions!$C$34*IF(Z3=1,Assumptions!$C$66,1)</f>
        <v>40.5</v>
      </c>
      <c r="AA5" s="17" t="n">
        <f aca="false">Assumptions!$C$34*IF(AA3=1,Assumptions!$C$66,1)</f>
        <v>40.5</v>
      </c>
      <c r="AB5" s="17" t="n">
        <f aca="false">Assumptions!$C$34*IF(AB3=1,Assumptions!$C$66,1)</f>
        <v>40.5</v>
      </c>
      <c r="AC5" s="17" t="n">
        <f aca="false">Assumptions!$C$34*IF(AC3=1,Assumptions!$C$66,1)</f>
        <v>40.5</v>
      </c>
      <c r="AD5" s="17" t="n">
        <f aca="false">Assumptions!$C$34*IF(AD3=1,Assumptions!$C$66,1)</f>
        <v>40.5</v>
      </c>
      <c r="AE5" s="17" t="n">
        <f aca="false">Assumptions!$C$34*IF(AE3=1,Assumptions!$C$66,1)</f>
        <v>40.5</v>
      </c>
      <c r="AF5" s="17" t="n">
        <f aca="false">Assumptions!$C$34*IF(AF3=1,Assumptions!$C$66,1)</f>
        <v>40.5</v>
      </c>
      <c r="AG5" s="17" t="n">
        <f aca="false">Assumptions!$C$34*IF(AG3=1,Assumptions!$C$66,1)</f>
        <v>40.5</v>
      </c>
      <c r="AH5" s="17" t="n">
        <f aca="false">Assumptions!$C$34*IF(AH3=1,Assumptions!$C$66,1)</f>
        <v>40.5</v>
      </c>
      <c r="AI5" s="17" t="n">
        <f aca="false">Assumptions!$C$34*IF(AI3=1,Assumptions!$C$66,1)</f>
        <v>40.5</v>
      </c>
      <c r="AJ5" s="17" t="n">
        <f aca="false">Assumptions!$C$34*IF(AJ3=1,Assumptions!$C$66,1)</f>
        <v>40.5</v>
      </c>
      <c r="AK5" s="17" t="n">
        <f aca="false">Assumptions!$C$34*IF(AK3=1,Assumptions!$C$66,1)</f>
        <v>40.5</v>
      </c>
    </row>
    <row r="6" customFormat="false" ht="15" hidden="false" customHeight="false" outlineLevel="0" collapsed="false">
      <c r="A6" s="2" t="s">
        <v>133</v>
      </c>
      <c r="B6" s="18" t="n">
        <f aca="false">IF(B1&lt;3,Assumptions!$C$38/3,CHOOSE(B2,Assumptions!$C$39,Assumptions!$C$40,Assumptions!$C$41))</f>
        <v>133333.333333333</v>
      </c>
      <c r="C6" s="18" t="n">
        <f aca="false">IF(C1&lt;3,Assumptions!$C$38/3,CHOOSE(C2,Assumptions!$C$39,Assumptions!$C$40,Assumptions!$C$41))</f>
        <v>133333.333333333</v>
      </c>
      <c r="D6" s="18" t="n">
        <f aca="false">IF(D1&lt;3,Assumptions!$C$38/3,CHOOSE(D2,Assumptions!$C$39,Assumptions!$C$40,Assumptions!$C$41))</f>
        <v>133333.333333333</v>
      </c>
      <c r="E6" s="18" t="n">
        <f aca="false">IF(E1&lt;3,Assumptions!$C$38/3,CHOOSE(E2,Assumptions!$C$39,Assumptions!$C$40,Assumptions!$C$41))</f>
        <v>27000</v>
      </c>
      <c r="F6" s="18" t="n">
        <f aca="false">IF(F1&lt;3,Assumptions!$C$38/3,CHOOSE(F2,Assumptions!$C$39,Assumptions!$C$40,Assumptions!$C$41))</f>
        <v>27000</v>
      </c>
      <c r="G6" s="18" t="n">
        <f aca="false">IF(G1&lt;3,Assumptions!$C$38/3,CHOOSE(G2,Assumptions!$C$39,Assumptions!$C$40,Assumptions!$C$41))</f>
        <v>27000</v>
      </c>
      <c r="H6" s="18" t="n">
        <f aca="false">IF(H1&lt;3,Assumptions!$C$38/3,CHOOSE(H2,Assumptions!$C$39,Assumptions!$C$40,Assumptions!$C$41))</f>
        <v>27000</v>
      </c>
      <c r="I6" s="18" t="n">
        <f aca="false">IF(I1&lt;3,Assumptions!$C$38/3,CHOOSE(I2,Assumptions!$C$39,Assumptions!$C$40,Assumptions!$C$41))</f>
        <v>27000</v>
      </c>
      <c r="J6" s="18" t="n">
        <f aca="false">IF(J1&lt;3,Assumptions!$C$38/3,CHOOSE(J2,Assumptions!$C$39,Assumptions!$C$40,Assumptions!$C$41))</f>
        <v>27000</v>
      </c>
      <c r="K6" s="18" t="n">
        <f aca="false">IF(K1&lt;3,Assumptions!$C$38/3,CHOOSE(K2,Assumptions!$C$39,Assumptions!$C$40,Assumptions!$C$41))</f>
        <v>27000</v>
      </c>
      <c r="L6" s="18" t="n">
        <f aca="false">IF(L1&lt;3,Assumptions!$C$38/3,CHOOSE(L2,Assumptions!$C$39,Assumptions!$C$40,Assumptions!$C$41))</f>
        <v>27000</v>
      </c>
      <c r="M6" s="18" t="n">
        <f aca="false">IF(M1&lt;3,Assumptions!$C$38/3,CHOOSE(M2,Assumptions!$C$39,Assumptions!$C$40,Assumptions!$C$41))</f>
        <v>27000</v>
      </c>
      <c r="N6" s="18" t="n">
        <f aca="false">IF(N1&lt;3,Assumptions!$C$38/3,CHOOSE(N2,Assumptions!$C$39,Assumptions!$C$40,Assumptions!$C$41))</f>
        <v>18000</v>
      </c>
      <c r="O6" s="18" t="n">
        <f aca="false">IF(O1&lt;3,Assumptions!$C$38/3,CHOOSE(O2,Assumptions!$C$39,Assumptions!$C$40,Assumptions!$C$41))</f>
        <v>18000</v>
      </c>
      <c r="P6" s="18" t="n">
        <f aca="false">IF(P1&lt;3,Assumptions!$C$38/3,CHOOSE(P2,Assumptions!$C$39,Assumptions!$C$40,Assumptions!$C$41))</f>
        <v>18000</v>
      </c>
      <c r="Q6" s="18" t="n">
        <f aca="false">IF(Q1&lt;3,Assumptions!$C$38/3,CHOOSE(Q2,Assumptions!$C$39,Assumptions!$C$40,Assumptions!$C$41))</f>
        <v>18000</v>
      </c>
      <c r="R6" s="18" t="n">
        <f aca="false">IF(R1&lt;3,Assumptions!$C$38/3,CHOOSE(R2,Assumptions!$C$39,Assumptions!$C$40,Assumptions!$C$41))</f>
        <v>18000</v>
      </c>
      <c r="S6" s="18" t="n">
        <f aca="false">IF(S1&lt;3,Assumptions!$C$38/3,CHOOSE(S2,Assumptions!$C$39,Assumptions!$C$40,Assumptions!$C$41))</f>
        <v>18000</v>
      </c>
      <c r="T6" s="18" t="n">
        <f aca="false">IF(T1&lt;3,Assumptions!$C$38/3,CHOOSE(T2,Assumptions!$C$39,Assumptions!$C$40,Assumptions!$C$41))</f>
        <v>18000</v>
      </c>
      <c r="U6" s="18" t="n">
        <f aca="false">IF(U1&lt;3,Assumptions!$C$38/3,CHOOSE(U2,Assumptions!$C$39,Assumptions!$C$40,Assumptions!$C$41))</f>
        <v>18000</v>
      </c>
      <c r="V6" s="18" t="n">
        <f aca="false">IF(V1&lt;3,Assumptions!$C$38/3,CHOOSE(V2,Assumptions!$C$39,Assumptions!$C$40,Assumptions!$C$41))</f>
        <v>18000</v>
      </c>
      <c r="W6" s="18" t="n">
        <f aca="false">IF(W1&lt;3,Assumptions!$C$38/3,CHOOSE(W2,Assumptions!$C$39,Assumptions!$C$40,Assumptions!$C$41))</f>
        <v>18000</v>
      </c>
      <c r="X6" s="18" t="n">
        <f aca="false">IF(X1&lt;3,Assumptions!$C$38/3,CHOOSE(X2,Assumptions!$C$39,Assumptions!$C$40,Assumptions!$C$41))</f>
        <v>18000</v>
      </c>
      <c r="Y6" s="18" t="n">
        <f aca="false">IF(Y1&lt;3,Assumptions!$C$38/3,CHOOSE(Y2,Assumptions!$C$39,Assumptions!$C$40,Assumptions!$C$41))</f>
        <v>18000</v>
      </c>
      <c r="Z6" s="18" t="n">
        <f aca="false">IF(Z1&lt;3,Assumptions!$C$38/3,CHOOSE(Z2,Assumptions!$C$39,Assumptions!$C$40,Assumptions!$C$41))</f>
        <v>15000</v>
      </c>
      <c r="AA6" s="18" t="n">
        <f aca="false">IF(AA1&lt;3,Assumptions!$C$38/3,CHOOSE(AA2,Assumptions!$C$39,Assumptions!$C$40,Assumptions!$C$41))</f>
        <v>15000</v>
      </c>
      <c r="AB6" s="18" t="n">
        <f aca="false">IF(AB1&lt;3,Assumptions!$C$38/3,CHOOSE(AB2,Assumptions!$C$39,Assumptions!$C$40,Assumptions!$C$41))</f>
        <v>15000</v>
      </c>
      <c r="AC6" s="18" t="n">
        <f aca="false">IF(AC1&lt;3,Assumptions!$C$38/3,CHOOSE(AC2,Assumptions!$C$39,Assumptions!$C$40,Assumptions!$C$41))</f>
        <v>15000</v>
      </c>
      <c r="AD6" s="18" t="n">
        <f aca="false">IF(AD1&lt;3,Assumptions!$C$38/3,CHOOSE(AD2,Assumptions!$C$39,Assumptions!$C$40,Assumptions!$C$41))</f>
        <v>15000</v>
      </c>
      <c r="AE6" s="18" t="n">
        <f aca="false">IF(AE1&lt;3,Assumptions!$C$38/3,CHOOSE(AE2,Assumptions!$C$39,Assumptions!$C$40,Assumptions!$C$41))</f>
        <v>15000</v>
      </c>
      <c r="AF6" s="18" t="n">
        <f aca="false">IF(AF1&lt;3,Assumptions!$C$38/3,CHOOSE(AF2,Assumptions!$C$39,Assumptions!$C$40,Assumptions!$C$41))</f>
        <v>15000</v>
      </c>
      <c r="AG6" s="18" t="n">
        <f aca="false">IF(AG1&lt;3,Assumptions!$C$38/3,CHOOSE(AG2,Assumptions!$C$39,Assumptions!$C$40,Assumptions!$C$41))</f>
        <v>15000</v>
      </c>
      <c r="AH6" s="18" t="n">
        <f aca="false">IF(AH1&lt;3,Assumptions!$C$38/3,CHOOSE(AH2,Assumptions!$C$39,Assumptions!$C$40,Assumptions!$C$41))</f>
        <v>15000</v>
      </c>
      <c r="AI6" s="18" t="n">
        <f aca="false">IF(AI1&lt;3,Assumptions!$C$38/3,CHOOSE(AI2,Assumptions!$C$39,Assumptions!$C$40,Assumptions!$C$41))</f>
        <v>15000</v>
      </c>
      <c r="AJ6" s="18" t="n">
        <f aca="false">IF(AJ1&lt;3,Assumptions!$C$38/3,CHOOSE(AJ2,Assumptions!$C$39,Assumptions!$C$40,Assumptions!$C$41))</f>
        <v>15000</v>
      </c>
      <c r="AK6" s="18" t="n">
        <f aca="false">IF(AK1&lt;3,Assumptions!$C$38/3,CHOOSE(AK2,Assumptions!$C$39,Assumptions!$C$40,Assumptions!$C$41))</f>
        <v>15000</v>
      </c>
    </row>
    <row r="7" customFormat="false" ht="15" hidden="false" customHeight="false" outlineLevel="0" collapsed="false">
      <c r="A7" s="2" t="s">
        <v>134</v>
      </c>
      <c r="B7" s="15" t="n">
        <f aca="false">B6/Assumptions!$C$26*CHOOSE(B2,Assumptions!$C$27,Assumptions!$C$28,Assumptions!$C$29)*B4</f>
        <v>100000</v>
      </c>
      <c r="C7" s="15" t="n">
        <f aca="false">C6/Assumptions!$C$26*CHOOSE(C2,Assumptions!$C$27,Assumptions!$C$28,Assumptions!$C$29)*C4</f>
        <v>100000</v>
      </c>
      <c r="D7" s="15" t="n">
        <f aca="false">D6/Assumptions!$C$26*CHOOSE(D2,Assumptions!$C$27,Assumptions!$C$28,Assumptions!$C$29)*D4</f>
        <v>100000</v>
      </c>
      <c r="E7" s="15" t="n">
        <f aca="false">E6/Assumptions!$C$26*CHOOSE(E2,Assumptions!$C$27,Assumptions!$C$28,Assumptions!$C$29)*E4</f>
        <v>20250</v>
      </c>
      <c r="F7" s="15" t="n">
        <f aca="false">F6/Assumptions!$C$26*CHOOSE(F2,Assumptions!$C$27,Assumptions!$C$28,Assumptions!$C$29)*F4</f>
        <v>20250</v>
      </c>
      <c r="G7" s="15" t="n">
        <f aca="false">G6/Assumptions!$C$26*CHOOSE(G2,Assumptions!$C$27,Assumptions!$C$28,Assumptions!$C$29)*G4</f>
        <v>20250</v>
      </c>
      <c r="H7" s="15" t="n">
        <f aca="false">H6/Assumptions!$C$26*CHOOSE(H2,Assumptions!$C$27,Assumptions!$C$28,Assumptions!$C$29)*H4</f>
        <v>20250</v>
      </c>
      <c r="I7" s="15" t="n">
        <f aca="false">I6/Assumptions!$C$26*CHOOSE(I2,Assumptions!$C$27,Assumptions!$C$28,Assumptions!$C$29)*I4</f>
        <v>20250</v>
      </c>
      <c r="J7" s="15" t="n">
        <f aca="false">J6/Assumptions!$C$26*CHOOSE(J2,Assumptions!$C$27,Assumptions!$C$28,Assumptions!$C$29)*J4</f>
        <v>20250</v>
      </c>
      <c r="K7" s="15" t="n">
        <f aca="false">K6/Assumptions!$C$26*CHOOSE(K2,Assumptions!$C$27,Assumptions!$C$28,Assumptions!$C$29)*K4</f>
        <v>20250</v>
      </c>
      <c r="L7" s="15" t="n">
        <f aca="false">L6/Assumptions!$C$26*CHOOSE(L2,Assumptions!$C$27,Assumptions!$C$28,Assumptions!$C$29)*L4</f>
        <v>20250</v>
      </c>
      <c r="M7" s="15" t="n">
        <f aca="false">M6/Assumptions!$C$26*CHOOSE(M2,Assumptions!$C$27,Assumptions!$C$28,Assumptions!$C$29)*M4</f>
        <v>20250</v>
      </c>
      <c r="N7" s="15" t="n">
        <f aca="false">N6/Assumptions!$C$26*CHOOSE(N2,Assumptions!$C$27,Assumptions!$C$28,Assumptions!$C$29)*N4</f>
        <v>12000</v>
      </c>
      <c r="O7" s="15" t="n">
        <f aca="false">O6/Assumptions!$C$26*CHOOSE(O2,Assumptions!$C$27,Assumptions!$C$28,Assumptions!$C$29)*O4</f>
        <v>12000</v>
      </c>
      <c r="P7" s="15" t="n">
        <f aca="false">P6/Assumptions!$C$26*CHOOSE(P2,Assumptions!$C$27,Assumptions!$C$28,Assumptions!$C$29)*P4</f>
        <v>12000</v>
      </c>
      <c r="Q7" s="15" t="n">
        <f aca="false">Q6/Assumptions!$C$26*CHOOSE(Q2,Assumptions!$C$27,Assumptions!$C$28,Assumptions!$C$29)*Q4</f>
        <v>12000</v>
      </c>
      <c r="R7" s="15" t="n">
        <f aca="false">R6/Assumptions!$C$26*CHOOSE(R2,Assumptions!$C$27,Assumptions!$C$28,Assumptions!$C$29)*R4</f>
        <v>12000</v>
      </c>
      <c r="S7" s="15" t="n">
        <f aca="false">S6/Assumptions!$C$26*CHOOSE(S2,Assumptions!$C$27,Assumptions!$C$28,Assumptions!$C$29)*S4</f>
        <v>12000</v>
      </c>
      <c r="T7" s="15" t="n">
        <f aca="false">T6/Assumptions!$C$26*CHOOSE(T2,Assumptions!$C$27,Assumptions!$C$28,Assumptions!$C$29)*T4</f>
        <v>12000</v>
      </c>
      <c r="U7" s="15" t="n">
        <f aca="false">U6/Assumptions!$C$26*CHOOSE(U2,Assumptions!$C$27,Assumptions!$C$28,Assumptions!$C$29)*U4</f>
        <v>12000</v>
      </c>
      <c r="V7" s="15" t="n">
        <f aca="false">V6/Assumptions!$C$26*CHOOSE(V2,Assumptions!$C$27,Assumptions!$C$28,Assumptions!$C$29)*V4</f>
        <v>12000</v>
      </c>
      <c r="W7" s="15" t="n">
        <f aca="false">W6/Assumptions!$C$26*CHOOSE(W2,Assumptions!$C$27,Assumptions!$C$28,Assumptions!$C$29)*W4</f>
        <v>9600</v>
      </c>
      <c r="X7" s="15" t="n">
        <f aca="false">X6/Assumptions!$C$26*CHOOSE(X2,Assumptions!$C$27,Assumptions!$C$28,Assumptions!$C$29)*X4</f>
        <v>9600</v>
      </c>
      <c r="Y7" s="15" t="n">
        <f aca="false">Y6/Assumptions!$C$26*CHOOSE(Y2,Assumptions!$C$27,Assumptions!$C$28,Assumptions!$C$29)*Y4</f>
        <v>9600</v>
      </c>
      <c r="Z7" s="15" t="n">
        <f aca="false">Z6/Assumptions!$C$26*CHOOSE(Z2,Assumptions!$C$27,Assumptions!$C$28,Assumptions!$C$29)*Z4</f>
        <v>7500</v>
      </c>
      <c r="AA7" s="15" t="n">
        <f aca="false">AA6/Assumptions!$C$26*CHOOSE(AA2,Assumptions!$C$27,Assumptions!$C$28,Assumptions!$C$29)*AA4</f>
        <v>7500</v>
      </c>
      <c r="AB7" s="15" t="n">
        <f aca="false">AB6/Assumptions!$C$26*CHOOSE(AB2,Assumptions!$C$27,Assumptions!$C$28,Assumptions!$C$29)*AB4</f>
        <v>7500</v>
      </c>
      <c r="AC7" s="15" t="n">
        <f aca="false">AC6/Assumptions!$C$26*CHOOSE(AC2,Assumptions!$C$27,Assumptions!$C$28,Assumptions!$C$29)*AC4</f>
        <v>7500</v>
      </c>
      <c r="AD7" s="15" t="n">
        <f aca="false">AD6/Assumptions!$C$26*CHOOSE(AD2,Assumptions!$C$27,Assumptions!$C$28,Assumptions!$C$29)*AD4</f>
        <v>7500</v>
      </c>
      <c r="AE7" s="15" t="n">
        <f aca="false">AE6/Assumptions!$C$26*CHOOSE(AE2,Assumptions!$C$27,Assumptions!$C$28,Assumptions!$C$29)*AE4</f>
        <v>7500</v>
      </c>
      <c r="AF7" s="15" t="n">
        <f aca="false">AF6/Assumptions!$C$26*CHOOSE(AF2,Assumptions!$C$27,Assumptions!$C$28,Assumptions!$C$29)*AF4</f>
        <v>7500</v>
      </c>
      <c r="AG7" s="15" t="n">
        <f aca="false">AG6/Assumptions!$C$26*CHOOSE(AG2,Assumptions!$C$27,Assumptions!$C$28,Assumptions!$C$29)*AG4</f>
        <v>7500</v>
      </c>
      <c r="AH7" s="15" t="n">
        <f aca="false">AH6/Assumptions!$C$26*CHOOSE(AH2,Assumptions!$C$27,Assumptions!$C$28,Assumptions!$C$29)*AH4</f>
        <v>7500</v>
      </c>
      <c r="AI7" s="15" t="n">
        <f aca="false">AI6/Assumptions!$C$26*CHOOSE(AI2,Assumptions!$C$27,Assumptions!$C$28,Assumptions!$C$29)*AI4</f>
        <v>7500</v>
      </c>
      <c r="AJ7" s="15" t="n">
        <f aca="false">AJ6/Assumptions!$C$26*CHOOSE(AJ2,Assumptions!$C$27,Assumptions!$C$28,Assumptions!$C$29)*AJ4</f>
        <v>7500</v>
      </c>
      <c r="AK7" s="15" t="n">
        <f aca="false">AK6/Assumptions!$C$26*CHOOSE(AK2,Assumptions!$C$27,Assumptions!$C$28,Assumptions!$C$29)*AK4</f>
        <v>7500</v>
      </c>
    </row>
    <row r="8" customFormat="false" ht="15" hidden="false" customHeight="false" outlineLevel="0" collapsed="false">
      <c r="A8" s="2" t="s">
        <v>135</v>
      </c>
      <c r="B8" s="15" t="n">
        <f aca="false">B7*Assumptions!$C$30</f>
        <v>30000</v>
      </c>
      <c r="C8" s="15" t="n">
        <f aca="false">C7*Assumptions!$C$30</f>
        <v>30000</v>
      </c>
      <c r="D8" s="15" t="n">
        <f aca="false">D7*Assumptions!$C$30</f>
        <v>30000</v>
      </c>
      <c r="E8" s="15" t="n">
        <f aca="false">E7*Assumptions!$C$30</f>
        <v>6075</v>
      </c>
      <c r="F8" s="15" t="n">
        <f aca="false">F7*Assumptions!$C$30</f>
        <v>6075</v>
      </c>
      <c r="G8" s="15" t="n">
        <f aca="false">G7*Assumptions!$C$30</f>
        <v>6075</v>
      </c>
      <c r="H8" s="15" t="n">
        <f aca="false">H7*Assumptions!$C$30</f>
        <v>6075</v>
      </c>
      <c r="I8" s="15" t="n">
        <f aca="false">I7*Assumptions!$C$30</f>
        <v>6075</v>
      </c>
      <c r="J8" s="15" t="n">
        <f aca="false">J7*Assumptions!$C$30</f>
        <v>6075</v>
      </c>
      <c r="K8" s="15" t="n">
        <f aca="false">K7*Assumptions!$C$30</f>
        <v>6075</v>
      </c>
      <c r="L8" s="15" t="n">
        <f aca="false">L7*Assumptions!$C$30</f>
        <v>6075</v>
      </c>
      <c r="M8" s="15" t="n">
        <f aca="false">M7*Assumptions!$C$30</f>
        <v>6075</v>
      </c>
      <c r="N8" s="15" t="n">
        <f aca="false">N7*Assumptions!$C$30</f>
        <v>3600</v>
      </c>
      <c r="O8" s="15" t="n">
        <f aca="false">O7*Assumptions!$C$30</f>
        <v>3600</v>
      </c>
      <c r="P8" s="15" t="n">
        <f aca="false">P7*Assumptions!$C$30</f>
        <v>3600</v>
      </c>
      <c r="Q8" s="15" t="n">
        <f aca="false">Q7*Assumptions!$C$30</f>
        <v>3600</v>
      </c>
      <c r="R8" s="15" t="n">
        <f aca="false">R7*Assumptions!$C$30</f>
        <v>3600</v>
      </c>
      <c r="S8" s="15" t="n">
        <f aca="false">S7*Assumptions!$C$30</f>
        <v>3600</v>
      </c>
      <c r="T8" s="15" t="n">
        <f aca="false">T7*Assumptions!$C$30</f>
        <v>3600</v>
      </c>
      <c r="U8" s="15" t="n">
        <f aca="false">U7*Assumptions!$C$30</f>
        <v>3600</v>
      </c>
      <c r="V8" s="15" t="n">
        <f aca="false">V7*Assumptions!$C$30</f>
        <v>3600</v>
      </c>
      <c r="W8" s="15" t="n">
        <f aca="false">W7*Assumptions!$C$30</f>
        <v>2880</v>
      </c>
      <c r="X8" s="15" t="n">
        <f aca="false">X7*Assumptions!$C$30</f>
        <v>2880</v>
      </c>
      <c r="Y8" s="15" t="n">
        <f aca="false">Y7*Assumptions!$C$30</f>
        <v>2880</v>
      </c>
      <c r="Z8" s="15" t="n">
        <f aca="false">Z7*Assumptions!$C$30</f>
        <v>2250</v>
      </c>
      <c r="AA8" s="15" t="n">
        <f aca="false">AA7*Assumptions!$C$30</f>
        <v>2250</v>
      </c>
      <c r="AB8" s="15" t="n">
        <f aca="false">AB7*Assumptions!$C$30</f>
        <v>2250</v>
      </c>
      <c r="AC8" s="15" t="n">
        <f aca="false">AC7*Assumptions!$C$30</f>
        <v>2250</v>
      </c>
      <c r="AD8" s="15" t="n">
        <f aca="false">AD7*Assumptions!$C$30</f>
        <v>2250</v>
      </c>
      <c r="AE8" s="15" t="n">
        <f aca="false">AE7*Assumptions!$C$30</f>
        <v>2250</v>
      </c>
      <c r="AF8" s="15" t="n">
        <f aca="false">AF7*Assumptions!$C$30</f>
        <v>2250</v>
      </c>
      <c r="AG8" s="15" t="n">
        <f aca="false">AG7*Assumptions!$C$30</f>
        <v>2250</v>
      </c>
      <c r="AH8" s="15" t="n">
        <f aca="false">AH7*Assumptions!$C$30</f>
        <v>2250</v>
      </c>
      <c r="AI8" s="15" t="n">
        <f aca="false">AI7*Assumptions!$C$30</f>
        <v>2250</v>
      </c>
      <c r="AJ8" s="15" t="n">
        <f aca="false">AJ7*Assumptions!$C$30</f>
        <v>2250</v>
      </c>
      <c r="AK8" s="15" t="n">
        <f aca="false">AK7*Assumptions!$C$30</f>
        <v>2250</v>
      </c>
    </row>
    <row r="9" customFormat="false" ht="15" hidden="false" customHeight="false" outlineLevel="0" collapsed="false">
      <c r="A9" s="2" t="s">
        <v>136</v>
      </c>
      <c r="B9" s="15" t="n">
        <f aca="false">B8/Assumptions!$B$6</f>
        <v>8571.42857142857</v>
      </c>
      <c r="C9" s="15" t="n">
        <f aca="false">C8/Assumptions!$B$6</f>
        <v>8571.42857142857</v>
      </c>
      <c r="D9" s="15" t="n">
        <f aca="false">D8/Assumptions!$B$6</f>
        <v>8571.42857142857</v>
      </c>
      <c r="E9" s="15" t="n">
        <f aca="false">E8/Assumptions!$B$6</f>
        <v>1735.71428571429</v>
      </c>
      <c r="F9" s="15" t="n">
        <f aca="false">F8/Assumptions!$B$6</f>
        <v>1735.71428571429</v>
      </c>
      <c r="G9" s="15" t="n">
        <f aca="false">G8/Assumptions!$B$6</f>
        <v>1735.71428571429</v>
      </c>
      <c r="H9" s="15" t="n">
        <f aca="false">H8/Assumptions!$B$6</f>
        <v>1735.71428571429</v>
      </c>
      <c r="I9" s="15" t="n">
        <f aca="false">I8/Assumptions!$B$6</f>
        <v>1735.71428571429</v>
      </c>
      <c r="J9" s="15" t="n">
        <f aca="false">J8/Assumptions!$B$6</f>
        <v>1735.71428571429</v>
      </c>
      <c r="K9" s="15" t="n">
        <f aca="false">K8/Assumptions!$B$6</f>
        <v>1735.71428571429</v>
      </c>
      <c r="L9" s="15" t="n">
        <f aca="false">L8/Assumptions!$B$6</f>
        <v>1735.71428571429</v>
      </c>
      <c r="M9" s="15" t="n">
        <f aca="false">M8/Assumptions!$B$6</f>
        <v>1735.71428571429</v>
      </c>
      <c r="N9" s="15" t="n">
        <f aca="false">N8/Assumptions!$B$6</f>
        <v>1028.57142857143</v>
      </c>
      <c r="O9" s="15" t="n">
        <f aca="false">O8/Assumptions!$B$6</f>
        <v>1028.57142857143</v>
      </c>
      <c r="P9" s="15" t="n">
        <f aca="false">P8/Assumptions!$B$6</f>
        <v>1028.57142857143</v>
      </c>
      <c r="Q9" s="15" t="n">
        <f aca="false">Q8/Assumptions!$B$6</f>
        <v>1028.57142857143</v>
      </c>
      <c r="R9" s="15" t="n">
        <f aca="false">R8/Assumptions!$B$6</f>
        <v>1028.57142857143</v>
      </c>
      <c r="S9" s="15" t="n">
        <f aca="false">S8/Assumptions!$B$6</f>
        <v>1028.57142857143</v>
      </c>
      <c r="T9" s="15" t="n">
        <f aca="false">T8/Assumptions!$B$6</f>
        <v>1028.57142857143</v>
      </c>
      <c r="U9" s="15" t="n">
        <f aca="false">U8/Assumptions!$B$6</f>
        <v>1028.57142857143</v>
      </c>
      <c r="V9" s="15" t="n">
        <f aca="false">V8/Assumptions!$B$6</f>
        <v>1028.57142857143</v>
      </c>
      <c r="W9" s="15" t="n">
        <f aca="false">W8/Assumptions!$B$6</f>
        <v>822.857142857143</v>
      </c>
      <c r="X9" s="15" t="n">
        <f aca="false">X8/Assumptions!$B$6</f>
        <v>822.857142857143</v>
      </c>
      <c r="Y9" s="15" t="n">
        <f aca="false">Y8/Assumptions!$B$6</f>
        <v>822.857142857143</v>
      </c>
      <c r="Z9" s="15" t="n">
        <f aca="false">Z8/Assumptions!$B$6</f>
        <v>642.857142857143</v>
      </c>
      <c r="AA9" s="15" t="n">
        <f aca="false">AA8/Assumptions!$B$6</f>
        <v>642.857142857143</v>
      </c>
      <c r="AB9" s="15" t="n">
        <f aca="false">AB8/Assumptions!$B$6</f>
        <v>642.857142857143</v>
      </c>
      <c r="AC9" s="15" t="n">
        <f aca="false">AC8/Assumptions!$B$6</f>
        <v>642.857142857143</v>
      </c>
      <c r="AD9" s="15" t="n">
        <f aca="false">AD8/Assumptions!$B$6</f>
        <v>642.857142857143</v>
      </c>
      <c r="AE9" s="15" t="n">
        <f aca="false">AE8/Assumptions!$B$6</f>
        <v>642.857142857143</v>
      </c>
      <c r="AF9" s="15" t="n">
        <f aca="false">AF8/Assumptions!$B$6</f>
        <v>642.857142857143</v>
      </c>
      <c r="AG9" s="15" t="n">
        <f aca="false">AG8/Assumptions!$B$6</f>
        <v>642.857142857143</v>
      </c>
      <c r="AH9" s="15" t="n">
        <f aca="false">AH8/Assumptions!$B$6</f>
        <v>642.857142857143</v>
      </c>
      <c r="AI9" s="15" t="n">
        <f aca="false">AI8/Assumptions!$B$6</f>
        <v>642.857142857143</v>
      </c>
      <c r="AJ9" s="15" t="n">
        <f aca="false">AJ8/Assumptions!$B$6</f>
        <v>642.857142857143</v>
      </c>
      <c r="AK9" s="15" t="n">
        <f aca="false">AK8/Assumptions!$B$6</f>
        <v>642.857142857143</v>
      </c>
    </row>
    <row r="10" customFormat="false" ht="15" hidden="false" customHeight="false" outlineLevel="0" collapsed="false">
      <c r="A10" s="2" t="s">
        <v>137</v>
      </c>
      <c r="B10" s="15" t="n">
        <f aca="false">B9</f>
        <v>8571.42857142857</v>
      </c>
      <c r="C10" s="15" t="n">
        <f aca="false">IF(C1&lt;Assumptions!$B$7,B10+C9,IF(C1&lt;=Assumptions!$B$7+1,B10*2/3,0))</f>
        <v>17142.8571428571</v>
      </c>
      <c r="D10" s="15" t="n">
        <f aca="false">IF(D1&lt;Assumptions!$B$7,C10+D9,IF(D1&lt;=Assumptions!$B$7+1,C10*2/3,0))</f>
        <v>25714.2857142857</v>
      </c>
      <c r="E10" s="15" t="n">
        <f aca="false">IF(E1&lt;Assumptions!$B$7,D10+E9,IF(E1&lt;=Assumptions!$B$7+1,D10*2/3,0))</f>
        <v>27450</v>
      </c>
      <c r="F10" s="15" t="n">
        <f aca="false">IF(F1&lt;Assumptions!$B$7,E10+F9,IF(F1&lt;=Assumptions!$B$7+1,E10*2/3,0))</f>
        <v>29185.7142857143</v>
      </c>
      <c r="G10" s="15" t="n">
        <f aca="false">IF(G1&lt;Assumptions!$B$7,F10+G9,IF(G1&lt;=Assumptions!$B$7+1,F10*2/3,0))</f>
        <v>30921.4285714286</v>
      </c>
      <c r="H10" s="15" t="n">
        <f aca="false">IF(H1&lt;Assumptions!$B$7,G10+H9,IF(H1&lt;=Assumptions!$B$7+1,G10*2/3,0))</f>
        <v>32657.1428571429</v>
      </c>
      <c r="I10" s="15" t="n">
        <f aca="false">IF(I1&lt;Assumptions!$B$7,H10+I9,IF(I1&lt;=Assumptions!$B$7+1,H10*2/3,0))</f>
        <v>34392.8571428571</v>
      </c>
      <c r="J10" s="15" t="n">
        <f aca="false">IF(J1&lt;Assumptions!$B$7,I10+J9,IF(J1&lt;=Assumptions!$B$7+1,I10*2/3,0))</f>
        <v>36128.5714285714</v>
      </c>
      <c r="K10" s="15" t="n">
        <f aca="false">IF(K1&lt;Assumptions!$B$7,J10+K9,IF(K1&lt;=Assumptions!$B$7+1,J10*2/3,0))</f>
        <v>24085.7142857143</v>
      </c>
      <c r="L10" s="15" t="n">
        <f aca="false">IF(L1&lt;Assumptions!$B$7,K10+L9,IF(L1&lt;=Assumptions!$B$7+1,K10*2/3,0))</f>
        <v>16057.1428571429</v>
      </c>
      <c r="M10" s="15" t="n">
        <f aca="false">IF(M1&lt;Assumptions!$B$7,L10+M9,IF(M1&lt;=Assumptions!$B$7+1,L10*2/3,0))</f>
        <v>0</v>
      </c>
      <c r="N10" s="15" t="n">
        <f aca="false">IF(N1&lt;Assumptions!$B$7,M10+N9,IF(N1&lt;=Assumptions!$B$7+1,M10*2/3,0))</f>
        <v>0</v>
      </c>
      <c r="O10" s="15" t="n">
        <f aca="false">IF(O1&lt;Assumptions!$B$7,N10+O9,IF(O1&lt;=Assumptions!$B$7+1,N10*2/3,0))</f>
        <v>0</v>
      </c>
      <c r="P10" s="15" t="n">
        <f aca="false">IF(P1&lt;Assumptions!$B$7,O10+P9,IF(P1&lt;=Assumptions!$B$7+1,O10*2/3,0))</f>
        <v>0</v>
      </c>
      <c r="Q10" s="15" t="n">
        <f aca="false">IF(Q1&lt;Assumptions!$B$7,P10+Q9,IF(Q1&lt;=Assumptions!$B$7+1,P10*2/3,0))</f>
        <v>0</v>
      </c>
      <c r="R10" s="15" t="n">
        <f aca="false">IF(R1&lt;Assumptions!$B$7,Q10+R9,IF(R1&lt;=Assumptions!$B$7+1,Q10*2/3,0))</f>
        <v>0</v>
      </c>
      <c r="S10" s="15" t="n">
        <f aca="false">IF(S1&lt;Assumptions!$B$7,R10+S9,IF(S1&lt;=Assumptions!$B$7+1,R10*2/3,0))</f>
        <v>0</v>
      </c>
      <c r="T10" s="15" t="n">
        <f aca="false">IF(T1&lt;Assumptions!$B$7,S10+T9,IF(T1&lt;=Assumptions!$B$7+1,S10*2/3,0))</f>
        <v>0</v>
      </c>
      <c r="U10" s="15" t="n">
        <f aca="false">IF(U1&lt;Assumptions!$B$7,T10+U9,IF(U1&lt;=Assumptions!$B$7+1,T10*2/3,0))</f>
        <v>0</v>
      </c>
      <c r="V10" s="15" t="n">
        <f aca="false">IF(V1&lt;Assumptions!$B$7,U10+V9,IF(V1&lt;=Assumptions!$B$7+1,U10*2/3,0))</f>
        <v>0</v>
      </c>
      <c r="W10" s="15" t="n">
        <f aca="false">IF(W1&lt;Assumptions!$B$7,V10+W9,IF(W1&lt;=Assumptions!$B$7+1,V10*2/3,0))</f>
        <v>0</v>
      </c>
      <c r="X10" s="15" t="n">
        <f aca="false">IF(X1&lt;Assumptions!$B$7,W10+X9,IF(X1&lt;=Assumptions!$B$7+1,W10*2/3,0))</f>
        <v>0</v>
      </c>
      <c r="Y10" s="15" t="n">
        <f aca="false">IF(Y1&lt;Assumptions!$B$7,X10+Y9,IF(Y1&lt;=Assumptions!$B$7+1,X10*2/3,0))</f>
        <v>0</v>
      </c>
      <c r="Z10" s="15" t="n">
        <f aca="false">IF(Z1&lt;Assumptions!$B$7,Y10+Z9,IF(Z1&lt;=Assumptions!$B$7+1,Y10*2/3,0))</f>
        <v>0</v>
      </c>
      <c r="AA10" s="15" t="n">
        <f aca="false">IF(AA1&lt;Assumptions!$B$7,Z10+AA9,IF(AA1&lt;=Assumptions!$B$7+1,Z10*2/3,0))</f>
        <v>0</v>
      </c>
      <c r="AB10" s="15" t="n">
        <f aca="false">IF(AB1&lt;Assumptions!$B$7,AA10+AB9,IF(AB1&lt;=Assumptions!$B$7+1,AA10*2/3,0))</f>
        <v>0</v>
      </c>
      <c r="AC10" s="15" t="n">
        <f aca="false">IF(AC1&lt;Assumptions!$B$7,AB10+AC9,IF(AC1&lt;=Assumptions!$B$7+1,AB10*2/3,0))</f>
        <v>0</v>
      </c>
      <c r="AD10" s="15" t="n">
        <f aca="false">IF(AD1&lt;Assumptions!$B$7,AC10+AD9,IF(AD1&lt;=Assumptions!$B$7+1,AC10*2/3,0))</f>
        <v>0</v>
      </c>
      <c r="AE10" s="15" t="n">
        <f aca="false">IF(AE1&lt;Assumptions!$B$7,AD10+AE9,IF(AE1&lt;=Assumptions!$B$7+1,AD10*2/3,0))</f>
        <v>0</v>
      </c>
      <c r="AF10" s="15" t="n">
        <f aca="false">IF(AF1&lt;Assumptions!$B$7,AE10+AF9,IF(AF1&lt;=Assumptions!$B$7+1,AE10*2/3,0))</f>
        <v>0</v>
      </c>
      <c r="AG10" s="15" t="n">
        <f aca="false">IF(AG1&lt;Assumptions!$B$7,AF10+AG9,IF(AG1&lt;=Assumptions!$B$7+1,AF10*2/3,0))</f>
        <v>0</v>
      </c>
      <c r="AH10" s="15" t="n">
        <f aca="false">IF(AH1&lt;Assumptions!$B$7,AG10+AH9,IF(AH1&lt;=Assumptions!$B$7+1,AG10*2/3,0))</f>
        <v>0</v>
      </c>
      <c r="AI10" s="15" t="n">
        <f aca="false">IF(AI1&lt;Assumptions!$B$7,AH10+AI9,IF(AI1&lt;=Assumptions!$B$7+1,AH10*2/3,0))</f>
        <v>0</v>
      </c>
      <c r="AJ10" s="15" t="n">
        <f aca="false">IF(AJ1&lt;Assumptions!$B$7,AI10+AJ9,IF(AJ1&lt;=Assumptions!$B$7+1,AI10*2/3,0))</f>
        <v>0</v>
      </c>
      <c r="AK10" s="15" t="n">
        <f aca="false">IF(AK1&lt;Assumptions!$B$7,AJ10+AK9,IF(AK1&lt;=Assumptions!$B$7+1,AJ10*2/3,0))</f>
        <v>0</v>
      </c>
    </row>
    <row r="11" customFormat="false" ht="15" hidden="false" customHeight="false" outlineLevel="0" collapsed="false">
      <c r="A11" s="2" t="s">
        <v>138</v>
      </c>
      <c r="B11" s="15" t="n">
        <f aca="false">0</f>
        <v>0</v>
      </c>
      <c r="C11" s="15" t="n">
        <f aca="false">IF(C1&lt;Assumptions!$B$7,0,IF(C1&lt;=Assumptions!$B$7+1,B10/3,IF(C1=Assumptions!$B$7+2,B10,0)))</f>
        <v>0</v>
      </c>
      <c r="D11" s="15" t="n">
        <f aca="false">IF(D1&lt;Assumptions!$B$7,0,IF(D1&lt;=Assumptions!$B$7+1,C10/3,IF(D1=Assumptions!$B$7+2,C10,0)))</f>
        <v>0</v>
      </c>
      <c r="E11" s="15" t="n">
        <f aca="false">IF(E1&lt;Assumptions!$B$7,0,IF(E1&lt;=Assumptions!$B$7+1,D10/3,IF(E1=Assumptions!$B$7+2,D10,0)))</f>
        <v>0</v>
      </c>
      <c r="F11" s="15" t="n">
        <f aca="false">IF(F1&lt;Assumptions!$B$7,0,IF(F1&lt;=Assumptions!$B$7+1,E10/3,IF(F1=Assumptions!$B$7+2,E10,0)))</f>
        <v>0</v>
      </c>
      <c r="G11" s="15" t="n">
        <f aca="false">IF(G1&lt;Assumptions!$B$7,0,IF(G1&lt;=Assumptions!$B$7+1,F10/3,IF(G1=Assumptions!$B$7+2,F10,0)))</f>
        <v>0</v>
      </c>
      <c r="H11" s="15" t="n">
        <f aca="false">IF(H1&lt;Assumptions!$B$7,0,IF(H1&lt;=Assumptions!$B$7+1,G10/3,IF(H1=Assumptions!$B$7+2,G10,0)))</f>
        <v>0</v>
      </c>
      <c r="I11" s="15" t="n">
        <f aca="false">IF(I1&lt;Assumptions!$B$7,0,IF(I1&lt;=Assumptions!$B$7+1,H10/3,IF(I1=Assumptions!$B$7+2,H10,0)))</f>
        <v>0</v>
      </c>
      <c r="J11" s="15" t="n">
        <f aca="false">IF(J1&lt;Assumptions!$B$7,0,IF(J1&lt;=Assumptions!$B$7+1,I10/3,IF(J1=Assumptions!$B$7+2,I10,0)))</f>
        <v>0</v>
      </c>
      <c r="K11" s="15" t="n">
        <f aca="false">IF(K1&lt;Assumptions!$B$7,0,IF(K1&lt;=Assumptions!$B$7+1,J10/3,IF(K1=Assumptions!$B$7+2,J10,0)))</f>
        <v>12042.8571428571</v>
      </c>
      <c r="L11" s="15" t="n">
        <f aca="false">IF(L1&lt;Assumptions!$B$7,0,IF(L1&lt;=Assumptions!$B$7+1,K10/3,IF(L1=Assumptions!$B$7+2,K10,0)))</f>
        <v>8028.57142857143</v>
      </c>
      <c r="M11" s="15" t="n">
        <f aca="false">IF(M1&lt;Assumptions!$B$7,0,IF(M1&lt;=Assumptions!$B$7+1,L10/3,IF(M1=Assumptions!$B$7+2,L10,0)))</f>
        <v>16057.1428571429</v>
      </c>
      <c r="N11" s="15" t="n">
        <f aca="false">IF(N1&lt;Assumptions!$B$7,0,IF(N1&lt;=Assumptions!$B$7+1,M10/3,IF(N1=Assumptions!$B$7+2,M10,0)))</f>
        <v>0</v>
      </c>
      <c r="O11" s="15" t="n">
        <f aca="false">IF(O1&lt;Assumptions!$B$7,0,IF(O1&lt;=Assumptions!$B$7+1,N10/3,IF(O1=Assumptions!$B$7+2,N10,0)))</f>
        <v>0</v>
      </c>
      <c r="P11" s="15" t="n">
        <f aca="false">IF(P1&lt;Assumptions!$B$7,0,IF(P1&lt;=Assumptions!$B$7+1,O10/3,IF(P1=Assumptions!$B$7+2,O10,0)))</f>
        <v>0</v>
      </c>
      <c r="Q11" s="15" t="n">
        <f aca="false">IF(Q1&lt;Assumptions!$B$7,0,IF(Q1&lt;=Assumptions!$B$7+1,P10/3,IF(Q1=Assumptions!$B$7+2,P10,0)))</f>
        <v>0</v>
      </c>
      <c r="R11" s="15" t="n">
        <f aca="false">IF(R1&lt;Assumptions!$B$7,0,IF(R1&lt;=Assumptions!$B$7+1,Q10/3,IF(R1=Assumptions!$B$7+2,Q10,0)))</f>
        <v>0</v>
      </c>
      <c r="S11" s="15" t="n">
        <f aca="false">IF(S1&lt;Assumptions!$B$7,0,IF(S1&lt;=Assumptions!$B$7+1,R10/3,IF(S1=Assumptions!$B$7+2,R10,0)))</f>
        <v>0</v>
      </c>
      <c r="T11" s="15" t="n">
        <f aca="false">IF(T1&lt;Assumptions!$B$7,0,IF(T1&lt;=Assumptions!$B$7+1,S10/3,IF(T1=Assumptions!$B$7+2,S10,0)))</f>
        <v>0</v>
      </c>
      <c r="U11" s="15" t="n">
        <f aca="false">IF(U1&lt;Assumptions!$B$7,0,IF(U1&lt;=Assumptions!$B$7+1,T10/3,IF(U1=Assumptions!$B$7+2,T10,0)))</f>
        <v>0</v>
      </c>
      <c r="V11" s="15" t="n">
        <f aca="false">IF(V1&lt;Assumptions!$B$7,0,IF(V1&lt;=Assumptions!$B$7+1,U10/3,IF(V1=Assumptions!$B$7+2,U10,0)))</f>
        <v>0</v>
      </c>
      <c r="W11" s="15" t="n">
        <f aca="false">IF(W1&lt;Assumptions!$B$7,0,IF(W1&lt;=Assumptions!$B$7+1,V10/3,IF(W1=Assumptions!$B$7+2,V10,0)))</f>
        <v>0</v>
      </c>
      <c r="X11" s="15" t="n">
        <f aca="false">IF(X1&lt;Assumptions!$B$7,0,IF(X1&lt;=Assumptions!$B$7+1,W10/3,IF(X1=Assumptions!$B$7+2,W10,0)))</f>
        <v>0</v>
      </c>
      <c r="Y11" s="15" t="n">
        <f aca="false">IF(Y1&lt;Assumptions!$B$7,0,IF(Y1&lt;=Assumptions!$B$7+1,X10/3,IF(Y1=Assumptions!$B$7+2,X10,0)))</f>
        <v>0</v>
      </c>
      <c r="Z11" s="15" t="n">
        <f aca="false">IF(Z1&lt;Assumptions!$B$7,0,IF(Z1&lt;=Assumptions!$B$7+1,Y10/3,IF(Z1=Assumptions!$B$7+2,Y10,0)))</f>
        <v>0</v>
      </c>
      <c r="AA11" s="15" t="n">
        <f aca="false">IF(AA1&lt;Assumptions!$B$7,0,IF(AA1&lt;=Assumptions!$B$7+1,Z10/3,IF(AA1=Assumptions!$B$7+2,Z10,0)))</f>
        <v>0</v>
      </c>
      <c r="AB11" s="15" t="n">
        <f aca="false">IF(AB1&lt;Assumptions!$B$7,0,IF(AB1&lt;=Assumptions!$B$7+1,AA10/3,IF(AB1=Assumptions!$B$7+2,AA10,0)))</f>
        <v>0</v>
      </c>
      <c r="AC11" s="15" t="n">
        <f aca="false">IF(AC1&lt;Assumptions!$B$7,0,IF(AC1&lt;=Assumptions!$B$7+1,AB10/3,IF(AC1=Assumptions!$B$7+2,AB10,0)))</f>
        <v>0</v>
      </c>
      <c r="AD11" s="15" t="n">
        <f aca="false">IF(AD1&lt;Assumptions!$B$7,0,IF(AD1&lt;=Assumptions!$B$7+1,AC10/3,IF(AD1=Assumptions!$B$7+2,AC10,0)))</f>
        <v>0</v>
      </c>
      <c r="AE11" s="15" t="n">
        <f aca="false">IF(AE1&lt;Assumptions!$B$7,0,IF(AE1&lt;=Assumptions!$B$7+1,AD10/3,IF(AE1=Assumptions!$B$7+2,AD10,0)))</f>
        <v>0</v>
      </c>
      <c r="AF11" s="15" t="n">
        <f aca="false">IF(AF1&lt;Assumptions!$B$7,0,IF(AF1&lt;=Assumptions!$B$7+1,AE10/3,IF(AF1=Assumptions!$B$7+2,AE10,0)))</f>
        <v>0</v>
      </c>
      <c r="AG11" s="15" t="n">
        <f aca="false">IF(AG1&lt;Assumptions!$B$7,0,IF(AG1&lt;=Assumptions!$B$7+1,AF10/3,IF(AG1=Assumptions!$B$7+2,AF10,0)))</f>
        <v>0</v>
      </c>
      <c r="AH11" s="15" t="n">
        <f aca="false">IF(AH1&lt;Assumptions!$B$7,0,IF(AH1&lt;=Assumptions!$B$7+1,AG10/3,IF(AH1=Assumptions!$B$7+2,AG10,0)))</f>
        <v>0</v>
      </c>
      <c r="AI11" s="15" t="n">
        <f aca="false">IF(AI1&lt;Assumptions!$B$7,0,IF(AI1&lt;=Assumptions!$B$7+1,AH10/3,IF(AI1=Assumptions!$B$7+2,AH10,0)))</f>
        <v>0</v>
      </c>
      <c r="AJ11" s="15" t="n">
        <f aca="false">IF(AJ1&lt;Assumptions!$B$7,0,IF(AJ1&lt;=Assumptions!$B$7+1,AI10/3,IF(AJ1=Assumptions!$B$7+2,AI10,0)))</f>
        <v>0</v>
      </c>
      <c r="AK11" s="15" t="n">
        <f aca="false">IF(AK1&lt;Assumptions!$B$7,0,IF(AK1&lt;=Assumptions!$B$7+1,AJ10/3,IF(AK1=Assumptions!$B$7+2,AJ10,0)))</f>
        <v>0</v>
      </c>
    </row>
    <row r="12" customFormat="false" ht="15" hidden="false" customHeight="false" outlineLevel="0" collapsed="false">
      <c r="A12" s="2" t="s">
        <v>139</v>
      </c>
      <c r="B12" s="15" t="n">
        <f aca="false">B11*Assumptions!$C$31+IF(B1&gt;=Assumptions!$B$7,B9*Assumptions!$C$32,0)</f>
        <v>0</v>
      </c>
      <c r="C12" s="15" t="n">
        <f aca="false">C11*Assumptions!$C$31+IF(C1&gt;=Assumptions!$B$7,C9*Assumptions!$C$32,0)</f>
        <v>0</v>
      </c>
      <c r="D12" s="15" t="n">
        <f aca="false">D11*Assumptions!$C$31+IF(D1&gt;=Assumptions!$B$7,D9*Assumptions!$C$32,0)</f>
        <v>0</v>
      </c>
      <c r="E12" s="15" t="n">
        <f aca="false">E11*Assumptions!$C$31+IF(E1&gt;=Assumptions!$B$7,E9*Assumptions!$C$32,0)</f>
        <v>0</v>
      </c>
      <c r="F12" s="15" t="n">
        <f aca="false">F11*Assumptions!$C$31+IF(F1&gt;=Assumptions!$B$7,F9*Assumptions!$C$32,0)</f>
        <v>0</v>
      </c>
      <c r="G12" s="15" t="n">
        <f aca="false">G11*Assumptions!$C$31+IF(G1&gt;=Assumptions!$B$7,G9*Assumptions!$C$32,0)</f>
        <v>0</v>
      </c>
      <c r="H12" s="15" t="n">
        <f aca="false">H11*Assumptions!$C$31+IF(H1&gt;=Assumptions!$B$7,H9*Assumptions!$C$32,0)</f>
        <v>0</v>
      </c>
      <c r="I12" s="15" t="n">
        <f aca="false">I11*Assumptions!$C$31+IF(I1&gt;=Assumptions!$B$7,I9*Assumptions!$C$32,0)</f>
        <v>0</v>
      </c>
      <c r="J12" s="15" t="n">
        <f aca="false">J11*Assumptions!$C$31+IF(J1&gt;=Assumptions!$B$7,J9*Assumptions!$C$32,0)</f>
        <v>0</v>
      </c>
      <c r="K12" s="15" t="n">
        <f aca="false">K11*Assumptions!$C$31+IF(K1&gt;=Assumptions!$B$7,K9*Assumptions!$C$32,0)</f>
        <v>896.142857142857</v>
      </c>
      <c r="L12" s="15" t="n">
        <f aca="false">L11*Assumptions!$C$31+IF(L1&gt;=Assumptions!$B$7,L9*Assumptions!$C$32,0)</f>
        <v>655.285714285714</v>
      </c>
      <c r="M12" s="15" t="n">
        <f aca="false">M11*Assumptions!$C$31+IF(M1&gt;=Assumptions!$B$7,M9*Assumptions!$C$32,0)</f>
        <v>1137</v>
      </c>
      <c r="N12" s="15" t="n">
        <f aca="false">N11*Assumptions!$C$31+IF(N1&gt;=Assumptions!$B$7,N9*Assumptions!$C$32,0)</f>
        <v>102.857142857143</v>
      </c>
      <c r="O12" s="15" t="n">
        <f aca="false">O11*Assumptions!$C$31+IF(O1&gt;=Assumptions!$B$7,O9*Assumptions!$C$32,0)</f>
        <v>102.857142857143</v>
      </c>
      <c r="P12" s="15" t="n">
        <f aca="false">P11*Assumptions!$C$31+IF(P1&gt;=Assumptions!$B$7,P9*Assumptions!$C$32,0)</f>
        <v>102.857142857143</v>
      </c>
      <c r="Q12" s="15" t="n">
        <f aca="false">Q11*Assumptions!$C$31+IF(Q1&gt;=Assumptions!$B$7,Q9*Assumptions!$C$32,0)</f>
        <v>102.857142857143</v>
      </c>
      <c r="R12" s="15" t="n">
        <f aca="false">R11*Assumptions!$C$31+IF(R1&gt;=Assumptions!$B$7,R9*Assumptions!$C$32,0)</f>
        <v>102.857142857143</v>
      </c>
      <c r="S12" s="15" t="n">
        <f aca="false">S11*Assumptions!$C$31+IF(S1&gt;=Assumptions!$B$7,S9*Assumptions!$C$32,0)</f>
        <v>102.857142857143</v>
      </c>
      <c r="T12" s="15" t="n">
        <f aca="false">T11*Assumptions!$C$31+IF(T1&gt;=Assumptions!$B$7,T9*Assumptions!$C$32,0)</f>
        <v>102.857142857143</v>
      </c>
      <c r="U12" s="15" t="n">
        <f aca="false">U11*Assumptions!$C$31+IF(U1&gt;=Assumptions!$B$7,U9*Assumptions!$C$32,0)</f>
        <v>102.857142857143</v>
      </c>
      <c r="V12" s="15" t="n">
        <f aca="false">V11*Assumptions!$C$31+IF(V1&gt;=Assumptions!$B$7,V9*Assumptions!$C$32,0)</f>
        <v>102.857142857143</v>
      </c>
      <c r="W12" s="15" t="n">
        <f aca="false">W11*Assumptions!$C$31+IF(W1&gt;=Assumptions!$B$7,W9*Assumptions!$C$32,0)</f>
        <v>82.2857142857143</v>
      </c>
      <c r="X12" s="15" t="n">
        <f aca="false">X11*Assumptions!$C$31+IF(X1&gt;=Assumptions!$B$7,X9*Assumptions!$C$32,0)</f>
        <v>82.2857142857143</v>
      </c>
      <c r="Y12" s="15" t="n">
        <f aca="false">Y11*Assumptions!$C$31+IF(Y1&gt;=Assumptions!$B$7,Y9*Assumptions!$C$32,0)</f>
        <v>82.2857142857143</v>
      </c>
      <c r="Z12" s="15" t="n">
        <f aca="false">Z11*Assumptions!$C$31+IF(Z1&gt;=Assumptions!$B$7,Z9*Assumptions!$C$32,0)</f>
        <v>64.2857142857143</v>
      </c>
      <c r="AA12" s="15" t="n">
        <f aca="false">AA11*Assumptions!$C$31+IF(AA1&gt;=Assumptions!$B$7,AA9*Assumptions!$C$32,0)</f>
        <v>64.2857142857143</v>
      </c>
      <c r="AB12" s="15" t="n">
        <f aca="false">AB11*Assumptions!$C$31+IF(AB1&gt;=Assumptions!$B$7,AB9*Assumptions!$C$32,0)</f>
        <v>64.2857142857143</v>
      </c>
      <c r="AC12" s="15" t="n">
        <f aca="false">AC11*Assumptions!$C$31+IF(AC1&gt;=Assumptions!$B$7,AC9*Assumptions!$C$32,0)</f>
        <v>64.2857142857143</v>
      </c>
      <c r="AD12" s="15" t="n">
        <f aca="false">AD11*Assumptions!$C$31+IF(AD1&gt;=Assumptions!$B$7,AD9*Assumptions!$C$32,0)</f>
        <v>64.2857142857143</v>
      </c>
      <c r="AE12" s="15" t="n">
        <f aca="false">AE11*Assumptions!$C$31+IF(AE1&gt;=Assumptions!$B$7,AE9*Assumptions!$C$32,0)</f>
        <v>64.2857142857143</v>
      </c>
      <c r="AF12" s="15" t="n">
        <f aca="false">AF11*Assumptions!$C$31+IF(AF1&gt;=Assumptions!$B$7,AF9*Assumptions!$C$32,0)</f>
        <v>64.2857142857143</v>
      </c>
      <c r="AG12" s="15" t="n">
        <f aca="false">AG11*Assumptions!$C$31+IF(AG1&gt;=Assumptions!$B$7,AG9*Assumptions!$C$32,0)</f>
        <v>64.2857142857143</v>
      </c>
      <c r="AH12" s="15" t="n">
        <f aca="false">AH11*Assumptions!$C$31+IF(AH1&gt;=Assumptions!$B$7,AH9*Assumptions!$C$32,0)</f>
        <v>64.2857142857143</v>
      </c>
      <c r="AI12" s="15" t="n">
        <f aca="false">AI11*Assumptions!$C$31+IF(AI1&gt;=Assumptions!$B$7,AI9*Assumptions!$C$32,0)</f>
        <v>64.2857142857143</v>
      </c>
      <c r="AJ12" s="15" t="n">
        <f aca="false">AJ11*Assumptions!$C$31+IF(AJ1&gt;=Assumptions!$B$7,AJ9*Assumptions!$C$32,0)</f>
        <v>64.2857142857143</v>
      </c>
      <c r="AK12" s="15" t="n">
        <f aca="false">AK11*Assumptions!$C$31+IF(AK1&gt;=Assumptions!$B$7,AK9*Assumptions!$C$32,0)</f>
        <v>64.2857142857143</v>
      </c>
    </row>
    <row r="13" customFormat="false" ht="15" hidden="false" customHeight="false" outlineLevel="0" collapsed="false">
      <c r="A13" s="2" t="s">
        <v>140</v>
      </c>
      <c r="B13" s="19" t="n">
        <f aca="false">MIN(Assumptions!$C$33,CHOOSE(B2,Assumptions!$C$58,Assumptions!$C$59,Assumptions!$C$60)/Assumptions!$B$5)/12</f>
        <v>0.0833333333333333</v>
      </c>
      <c r="C13" s="19" t="n">
        <f aca="false">MIN(Assumptions!$C$33,CHOOSE(C2,Assumptions!$C$58,Assumptions!$C$59,Assumptions!$C$60)/Assumptions!$B$5)/12</f>
        <v>0.0833333333333333</v>
      </c>
      <c r="D13" s="19" t="n">
        <f aca="false">MIN(Assumptions!$C$33,CHOOSE(D2,Assumptions!$C$58,Assumptions!$C$59,Assumptions!$C$60)/Assumptions!$B$5)/12</f>
        <v>0.0833333333333333</v>
      </c>
      <c r="E13" s="19" t="n">
        <f aca="false">MIN(Assumptions!$C$33,CHOOSE(E2,Assumptions!$C$58,Assumptions!$C$59,Assumptions!$C$60)/Assumptions!$B$5)/12</f>
        <v>0.0833333333333333</v>
      </c>
      <c r="F13" s="19" t="n">
        <f aca="false">MIN(Assumptions!$C$33,CHOOSE(F2,Assumptions!$C$58,Assumptions!$C$59,Assumptions!$C$60)/Assumptions!$B$5)/12</f>
        <v>0.0833333333333333</v>
      </c>
      <c r="G13" s="19" t="n">
        <f aca="false">MIN(Assumptions!$C$33,CHOOSE(G2,Assumptions!$C$58,Assumptions!$C$59,Assumptions!$C$60)/Assumptions!$B$5)/12</f>
        <v>0.0833333333333333</v>
      </c>
      <c r="H13" s="19" t="n">
        <f aca="false">MIN(Assumptions!$C$33,CHOOSE(H2,Assumptions!$C$58,Assumptions!$C$59,Assumptions!$C$60)/Assumptions!$B$5)/12</f>
        <v>0.0833333333333333</v>
      </c>
      <c r="I13" s="19" t="n">
        <f aca="false">MIN(Assumptions!$C$33,CHOOSE(I2,Assumptions!$C$58,Assumptions!$C$59,Assumptions!$C$60)/Assumptions!$B$5)/12</f>
        <v>0.0833333333333333</v>
      </c>
      <c r="J13" s="19" t="n">
        <f aca="false">MIN(Assumptions!$C$33,CHOOSE(J2,Assumptions!$C$58,Assumptions!$C$59,Assumptions!$C$60)/Assumptions!$B$5)/12</f>
        <v>0.0833333333333333</v>
      </c>
      <c r="K13" s="19" t="n">
        <f aca="false">MIN(Assumptions!$C$33,CHOOSE(K2,Assumptions!$C$58,Assumptions!$C$59,Assumptions!$C$60)/Assumptions!$B$5)/12</f>
        <v>0.0833333333333333</v>
      </c>
      <c r="L13" s="19" t="n">
        <f aca="false">MIN(Assumptions!$C$33,CHOOSE(L2,Assumptions!$C$58,Assumptions!$C$59,Assumptions!$C$60)/Assumptions!$B$5)/12</f>
        <v>0.0833333333333333</v>
      </c>
      <c r="M13" s="19" t="n">
        <f aca="false">MIN(Assumptions!$C$33,CHOOSE(M2,Assumptions!$C$58,Assumptions!$C$59,Assumptions!$C$60)/Assumptions!$B$5)/12</f>
        <v>0.0833333333333333</v>
      </c>
      <c r="N13" s="19" t="n">
        <f aca="false">MIN(Assumptions!$C$33,CHOOSE(N2,Assumptions!$C$58,Assumptions!$C$59,Assumptions!$C$60)/Assumptions!$B$5)/12</f>
        <v>0.0666666666666667</v>
      </c>
      <c r="O13" s="19" t="n">
        <f aca="false">MIN(Assumptions!$C$33,CHOOSE(O2,Assumptions!$C$58,Assumptions!$C$59,Assumptions!$C$60)/Assumptions!$B$5)/12</f>
        <v>0.0666666666666667</v>
      </c>
      <c r="P13" s="19" t="n">
        <f aca="false">MIN(Assumptions!$C$33,CHOOSE(P2,Assumptions!$C$58,Assumptions!$C$59,Assumptions!$C$60)/Assumptions!$B$5)/12</f>
        <v>0.0666666666666667</v>
      </c>
      <c r="Q13" s="19" t="n">
        <f aca="false">MIN(Assumptions!$C$33,CHOOSE(Q2,Assumptions!$C$58,Assumptions!$C$59,Assumptions!$C$60)/Assumptions!$B$5)/12</f>
        <v>0.0666666666666667</v>
      </c>
      <c r="R13" s="19" t="n">
        <f aca="false">MIN(Assumptions!$C$33,CHOOSE(R2,Assumptions!$C$58,Assumptions!$C$59,Assumptions!$C$60)/Assumptions!$B$5)/12</f>
        <v>0.0666666666666667</v>
      </c>
      <c r="S13" s="19" t="n">
        <f aca="false">MIN(Assumptions!$C$33,CHOOSE(S2,Assumptions!$C$58,Assumptions!$C$59,Assumptions!$C$60)/Assumptions!$B$5)/12</f>
        <v>0.0666666666666667</v>
      </c>
      <c r="T13" s="19" t="n">
        <f aca="false">MIN(Assumptions!$C$33,CHOOSE(T2,Assumptions!$C$58,Assumptions!$C$59,Assumptions!$C$60)/Assumptions!$B$5)/12</f>
        <v>0.0666666666666667</v>
      </c>
      <c r="U13" s="19" t="n">
        <f aca="false">MIN(Assumptions!$C$33,CHOOSE(U2,Assumptions!$C$58,Assumptions!$C$59,Assumptions!$C$60)/Assumptions!$B$5)/12</f>
        <v>0.0666666666666667</v>
      </c>
      <c r="V13" s="19" t="n">
        <f aca="false">MIN(Assumptions!$C$33,CHOOSE(V2,Assumptions!$C$58,Assumptions!$C$59,Assumptions!$C$60)/Assumptions!$B$5)/12</f>
        <v>0.0666666666666667</v>
      </c>
      <c r="W13" s="19" t="n">
        <f aca="false">MIN(Assumptions!$C$33,CHOOSE(W2,Assumptions!$C$58,Assumptions!$C$59,Assumptions!$C$60)/Assumptions!$B$5)/12</f>
        <v>0.0666666666666667</v>
      </c>
      <c r="X13" s="19" t="n">
        <f aca="false">MIN(Assumptions!$C$33,CHOOSE(X2,Assumptions!$C$58,Assumptions!$C$59,Assumptions!$C$60)/Assumptions!$B$5)/12</f>
        <v>0.0666666666666667</v>
      </c>
      <c r="Y13" s="19" t="n">
        <f aca="false">MIN(Assumptions!$C$33,CHOOSE(Y2,Assumptions!$C$58,Assumptions!$C$59,Assumptions!$C$60)/Assumptions!$B$5)/12</f>
        <v>0.0666666666666667</v>
      </c>
      <c r="Z13" s="19" t="n">
        <f aca="false">MIN(Assumptions!$C$33,CHOOSE(Z2,Assumptions!$C$58,Assumptions!$C$59,Assumptions!$C$60)/Assumptions!$B$5)/12</f>
        <v>0.0666666666666667</v>
      </c>
      <c r="AA13" s="19" t="n">
        <f aca="false">MIN(Assumptions!$C$33,CHOOSE(AA2,Assumptions!$C$58,Assumptions!$C$59,Assumptions!$C$60)/Assumptions!$B$5)/12</f>
        <v>0.0666666666666667</v>
      </c>
      <c r="AB13" s="19" t="n">
        <f aca="false">MIN(Assumptions!$C$33,CHOOSE(AB2,Assumptions!$C$58,Assumptions!$C$59,Assumptions!$C$60)/Assumptions!$B$5)/12</f>
        <v>0.0666666666666667</v>
      </c>
      <c r="AC13" s="19" t="n">
        <f aca="false">MIN(Assumptions!$C$33,CHOOSE(AC2,Assumptions!$C$58,Assumptions!$C$59,Assumptions!$C$60)/Assumptions!$B$5)/12</f>
        <v>0.0666666666666667</v>
      </c>
      <c r="AD13" s="19" t="n">
        <f aca="false">MIN(Assumptions!$C$33,CHOOSE(AD2,Assumptions!$C$58,Assumptions!$C$59,Assumptions!$C$60)/Assumptions!$B$5)/12</f>
        <v>0.0666666666666667</v>
      </c>
      <c r="AE13" s="19" t="n">
        <f aca="false">MIN(Assumptions!$C$33,CHOOSE(AE2,Assumptions!$C$58,Assumptions!$C$59,Assumptions!$C$60)/Assumptions!$B$5)/12</f>
        <v>0.0666666666666667</v>
      </c>
      <c r="AF13" s="19" t="n">
        <f aca="false">MIN(Assumptions!$C$33,CHOOSE(AF2,Assumptions!$C$58,Assumptions!$C$59,Assumptions!$C$60)/Assumptions!$B$5)/12</f>
        <v>0.0666666666666667</v>
      </c>
      <c r="AG13" s="19" t="n">
        <f aca="false">MIN(Assumptions!$C$33,CHOOSE(AG2,Assumptions!$C$58,Assumptions!$C$59,Assumptions!$C$60)/Assumptions!$B$5)/12</f>
        <v>0.0666666666666667</v>
      </c>
      <c r="AH13" s="19" t="n">
        <f aca="false">MIN(Assumptions!$C$33,CHOOSE(AH2,Assumptions!$C$58,Assumptions!$C$59,Assumptions!$C$60)/Assumptions!$B$5)/12</f>
        <v>0.0666666666666667</v>
      </c>
      <c r="AI13" s="19" t="n">
        <f aca="false">MIN(Assumptions!$C$33,CHOOSE(AI2,Assumptions!$C$58,Assumptions!$C$59,Assumptions!$C$60)/Assumptions!$B$5)/12</f>
        <v>0.0666666666666667</v>
      </c>
      <c r="AJ13" s="19" t="n">
        <f aca="false">MIN(Assumptions!$C$33,CHOOSE(AJ2,Assumptions!$C$58,Assumptions!$C$59,Assumptions!$C$60)/Assumptions!$B$5)/12</f>
        <v>0.0666666666666667</v>
      </c>
      <c r="AK13" s="19" t="n">
        <f aca="false">MIN(Assumptions!$C$33,CHOOSE(AK2,Assumptions!$C$58,Assumptions!$C$59,Assumptions!$C$60)/Assumptions!$B$5)/12</f>
        <v>0.0666666666666667</v>
      </c>
    </row>
    <row r="14" customFormat="false" ht="15" hidden="false" customHeight="false" outlineLevel="0" collapsed="false">
      <c r="A14" s="2" t="s">
        <v>141</v>
      </c>
      <c r="B14" s="15" t="n">
        <f aca="false">0</f>
        <v>0</v>
      </c>
      <c r="C14" s="15" t="n">
        <f aca="false">B15*C13</f>
        <v>0</v>
      </c>
      <c r="D14" s="15" t="n">
        <f aca="false">C15*D13</f>
        <v>0</v>
      </c>
      <c r="E14" s="15" t="n">
        <f aca="false">D15*E13</f>
        <v>0</v>
      </c>
      <c r="F14" s="15" t="n">
        <f aca="false">E15*F13</f>
        <v>0</v>
      </c>
      <c r="G14" s="15" t="n">
        <f aca="false">F15*G13</f>
        <v>0</v>
      </c>
      <c r="H14" s="15" t="n">
        <f aca="false">G15*H13</f>
        <v>0</v>
      </c>
      <c r="I14" s="15" t="n">
        <f aca="false">H15*I13</f>
        <v>0</v>
      </c>
      <c r="J14" s="15" t="n">
        <f aca="false">I15*J13</f>
        <v>0</v>
      </c>
      <c r="K14" s="15" t="n">
        <f aca="false">J15*K13</f>
        <v>0</v>
      </c>
      <c r="L14" s="15" t="n">
        <f aca="false">K15*L13</f>
        <v>74.6785714285714</v>
      </c>
      <c r="M14" s="15" t="n">
        <f aca="false">L15*M13</f>
        <v>125.551785714286</v>
      </c>
      <c r="N14" s="15" t="n">
        <f aca="false">M15*N13</f>
        <v>171.219357142857</v>
      </c>
      <c r="O14" s="15" t="n">
        <f aca="false">N15*O13</f>
        <v>169.515532142857</v>
      </c>
      <c r="P14" s="15" t="n">
        <f aca="false">O15*P13</f>
        <v>167.896898392857</v>
      </c>
      <c r="Q14" s="15" t="n">
        <f aca="false">P15*Q13</f>
        <v>166.359196330357</v>
      </c>
      <c r="R14" s="15" t="n">
        <f aca="false">Q15*R13</f>
        <v>164.898379370982</v>
      </c>
      <c r="S14" s="15" t="n">
        <f aca="false">R15*S13</f>
        <v>163.510603259576</v>
      </c>
      <c r="T14" s="15" t="n">
        <f aca="false">S15*T13</f>
        <v>162.19221595374</v>
      </c>
      <c r="U14" s="15" t="n">
        <f aca="false">T15*U13</f>
        <v>160.939748013196</v>
      </c>
      <c r="V14" s="15" t="n">
        <f aca="false">U15*V13</f>
        <v>159.749903469679</v>
      </c>
      <c r="W14" s="15" t="n">
        <f aca="false">V15*W13</f>
        <v>158.619551153338</v>
      </c>
      <c r="X14" s="15" t="n">
        <f aca="false">W15*X13</f>
        <v>156.174287881385</v>
      </c>
      <c r="Y14" s="15" t="n">
        <f aca="false">X15*Y13</f>
        <v>153.85128777303</v>
      </c>
      <c r="Z14" s="15" t="n">
        <f aca="false">Y15*Z13</f>
        <v>151.644437670093</v>
      </c>
      <c r="AA14" s="15" t="n">
        <f aca="false">Z15*AA13</f>
        <v>148.347930072303</v>
      </c>
      <c r="AB14" s="15" t="n">
        <f aca="false">AA15*AB13</f>
        <v>145.216247854402</v>
      </c>
      <c r="AC14" s="15" t="n">
        <f aca="false">AB15*AC13</f>
        <v>142.241149747396</v>
      </c>
      <c r="AD14" s="15" t="n">
        <f aca="false">AC15*AD13</f>
        <v>139.41480654574</v>
      </c>
      <c r="AE14" s="15" t="n">
        <f aca="false">AD15*AE13</f>
        <v>136.729780504168</v>
      </c>
      <c r="AF14" s="15" t="n">
        <f aca="false">AE15*AF13</f>
        <v>134.179005764673</v>
      </c>
      <c r="AG14" s="15" t="n">
        <f aca="false">AF15*AG13</f>
        <v>131.755769762154</v>
      </c>
      <c r="AH14" s="15" t="n">
        <f aca="false">AG15*AH13</f>
        <v>129.453695559761</v>
      </c>
      <c r="AI14" s="15" t="n">
        <f aca="false">AH15*AI13</f>
        <v>127.266725067487</v>
      </c>
      <c r="AJ14" s="15" t="n">
        <f aca="false">AI15*AJ13</f>
        <v>125.189103099827</v>
      </c>
      <c r="AK14" s="15" t="n">
        <f aca="false">AJ15*AK13</f>
        <v>123.21536223055</v>
      </c>
    </row>
    <row r="15" customFormat="false" ht="15" hidden="false" customHeight="false" outlineLevel="0" collapsed="false">
      <c r="A15" s="2" t="s">
        <v>142</v>
      </c>
      <c r="B15" s="15" t="n">
        <f aca="false">B12</f>
        <v>0</v>
      </c>
      <c r="C15" s="15" t="n">
        <f aca="false">B15*(1-Assumptions!$B$23)+C12</f>
        <v>0</v>
      </c>
      <c r="D15" s="15" t="n">
        <f aca="false">C15*(1-Assumptions!$B$23)+D12</f>
        <v>0</v>
      </c>
      <c r="E15" s="15" t="n">
        <f aca="false">D15*(1-Assumptions!$B$23)+E12</f>
        <v>0</v>
      </c>
      <c r="F15" s="15" t="n">
        <f aca="false">E15*(1-Assumptions!$B$23)+F12</f>
        <v>0</v>
      </c>
      <c r="G15" s="15" t="n">
        <f aca="false">F15*(1-Assumptions!$B$23)+G12</f>
        <v>0</v>
      </c>
      <c r="H15" s="15" t="n">
        <f aca="false">G15*(1-Assumptions!$B$23)+H12</f>
        <v>0</v>
      </c>
      <c r="I15" s="15" t="n">
        <f aca="false">H15*(1-Assumptions!$B$23)+I12</f>
        <v>0</v>
      </c>
      <c r="J15" s="15" t="n">
        <f aca="false">I15*(1-Assumptions!$B$23)+J12</f>
        <v>0</v>
      </c>
      <c r="K15" s="15" t="n">
        <f aca="false">J15*(1-Assumptions!$B$23)+K12</f>
        <v>896.142857142857</v>
      </c>
      <c r="L15" s="15" t="n">
        <f aca="false">K15*(1-Assumptions!$B$23)+L12</f>
        <v>1506.62142857143</v>
      </c>
      <c r="M15" s="15" t="n">
        <f aca="false">L15*(1-Assumptions!$B$23)+M12</f>
        <v>2568.29035714286</v>
      </c>
      <c r="N15" s="15" t="n">
        <f aca="false">M15*(1-Assumptions!$B$23)+N12</f>
        <v>2542.73298214286</v>
      </c>
      <c r="O15" s="15" t="n">
        <f aca="false">N15*(1-Assumptions!$B$23)+O12</f>
        <v>2518.45347589286</v>
      </c>
      <c r="P15" s="15" t="n">
        <f aca="false">O15*(1-Assumptions!$B$23)+P12</f>
        <v>2495.38794495536</v>
      </c>
      <c r="Q15" s="15" t="n">
        <f aca="false">P15*(1-Assumptions!$B$23)+Q12</f>
        <v>2473.47569056473</v>
      </c>
      <c r="R15" s="15" t="n">
        <f aca="false">Q15*(1-Assumptions!$B$23)+R12</f>
        <v>2452.65904889364</v>
      </c>
      <c r="S15" s="15" t="n">
        <f aca="false">R15*(1-Assumptions!$B$23)+S12</f>
        <v>2432.8832393061</v>
      </c>
      <c r="T15" s="15" t="n">
        <f aca="false">S15*(1-Assumptions!$B$23)+T12</f>
        <v>2414.09622019794</v>
      </c>
      <c r="U15" s="15" t="n">
        <f aca="false">T15*(1-Assumptions!$B$23)+U12</f>
        <v>2396.24855204518</v>
      </c>
      <c r="V15" s="15" t="n">
        <f aca="false">U15*(1-Assumptions!$B$23)+V12</f>
        <v>2379.29326730006</v>
      </c>
      <c r="W15" s="15" t="n">
        <f aca="false">V15*(1-Assumptions!$B$23)+W12</f>
        <v>2342.61431822078</v>
      </c>
      <c r="X15" s="15" t="n">
        <f aca="false">W15*(1-Assumptions!$B$23)+X12</f>
        <v>2307.76931659545</v>
      </c>
      <c r="Y15" s="15" t="n">
        <f aca="false">X15*(1-Assumptions!$B$23)+Y12</f>
        <v>2274.66656505139</v>
      </c>
      <c r="Z15" s="15" t="n">
        <f aca="false">Y15*(1-Assumptions!$B$23)+Z12</f>
        <v>2225.21895108454</v>
      </c>
      <c r="AA15" s="15" t="n">
        <f aca="false">Z15*(1-Assumptions!$B$23)+AA12</f>
        <v>2178.24371781602</v>
      </c>
      <c r="AB15" s="15" t="n">
        <f aca="false">AA15*(1-Assumptions!$B$23)+AB12</f>
        <v>2133.61724621094</v>
      </c>
      <c r="AC15" s="15" t="n">
        <f aca="false">AB15*(1-Assumptions!$B$23)+AC12</f>
        <v>2091.2220981861</v>
      </c>
      <c r="AD15" s="15" t="n">
        <f aca="false">AC15*(1-Assumptions!$B$23)+AD12</f>
        <v>2050.94670756251</v>
      </c>
      <c r="AE15" s="15" t="n">
        <f aca="false">AD15*(1-Assumptions!$B$23)+AE12</f>
        <v>2012.6850864701</v>
      </c>
      <c r="AF15" s="15" t="n">
        <f aca="false">AE15*(1-Assumptions!$B$23)+AF12</f>
        <v>1976.33654643231</v>
      </c>
      <c r="AG15" s="15" t="n">
        <f aca="false">AF15*(1-Assumptions!$B$23)+AG12</f>
        <v>1941.80543339641</v>
      </c>
      <c r="AH15" s="15" t="n">
        <f aca="false">AG15*(1-Assumptions!$B$23)+AH12</f>
        <v>1909.0008760123</v>
      </c>
      <c r="AI15" s="15" t="n">
        <f aca="false">AH15*(1-Assumptions!$B$23)+AI12</f>
        <v>1877.8365464974</v>
      </c>
      <c r="AJ15" s="15" t="n">
        <f aca="false">AI15*(1-Assumptions!$B$23)+AJ12</f>
        <v>1848.23043345825</v>
      </c>
      <c r="AK15" s="15" t="n">
        <f aca="false">AJ15*(1-Assumptions!$B$23)+AK12</f>
        <v>1820.10462607105</v>
      </c>
    </row>
    <row r="16" customFormat="false" ht="15" hidden="false" customHeight="false" outlineLevel="0" collapsed="false">
      <c r="A16" s="2" t="s">
        <v>143</v>
      </c>
      <c r="B16" s="15" t="n">
        <f aca="false">B12+B14</f>
        <v>0</v>
      </c>
      <c r="C16" s="15" t="n">
        <f aca="false">C12+C14</f>
        <v>0</v>
      </c>
      <c r="D16" s="15" t="n">
        <f aca="false">D12+D14</f>
        <v>0</v>
      </c>
      <c r="E16" s="15" t="n">
        <f aca="false">E12+E14</f>
        <v>0</v>
      </c>
      <c r="F16" s="15" t="n">
        <f aca="false">F12+F14</f>
        <v>0</v>
      </c>
      <c r="G16" s="15" t="n">
        <f aca="false">G12+G14</f>
        <v>0</v>
      </c>
      <c r="H16" s="15" t="n">
        <f aca="false">H12+H14</f>
        <v>0</v>
      </c>
      <c r="I16" s="15" t="n">
        <f aca="false">I12+I14</f>
        <v>0</v>
      </c>
      <c r="J16" s="15" t="n">
        <f aca="false">J12+J14</f>
        <v>0</v>
      </c>
      <c r="K16" s="15" t="n">
        <f aca="false">K12+K14</f>
        <v>896.142857142857</v>
      </c>
      <c r="L16" s="15" t="n">
        <f aca="false">L12+L14</f>
        <v>729.964285714286</v>
      </c>
      <c r="M16" s="15" t="n">
        <f aca="false">M12+M14</f>
        <v>1262.55178571429</v>
      </c>
      <c r="N16" s="15" t="n">
        <f aca="false">N12+N14</f>
        <v>274.0765</v>
      </c>
      <c r="O16" s="15" t="n">
        <f aca="false">O12+O14</f>
        <v>272.372675</v>
      </c>
      <c r="P16" s="15" t="n">
        <f aca="false">P12+P14</f>
        <v>270.75404125</v>
      </c>
      <c r="Q16" s="15" t="n">
        <f aca="false">Q12+Q14</f>
        <v>269.2163391875</v>
      </c>
      <c r="R16" s="15" t="n">
        <f aca="false">R12+R14</f>
        <v>267.755522228125</v>
      </c>
      <c r="S16" s="15" t="n">
        <f aca="false">S12+S14</f>
        <v>266.367746116719</v>
      </c>
      <c r="T16" s="15" t="n">
        <f aca="false">T12+T14</f>
        <v>265.049358810883</v>
      </c>
      <c r="U16" s="15" t="n">
        <f aca="false">U12+U14</f>
        <v>263.796890870339</v>
      </c>
      <c r="V16" s="15" t="n">
        <f aca="false">V12+V14</f>
        <v>262.607046326822</v>
      </c>
      <c r="W16" s="15" t="n">
        <f aca="false">W12+W14</f>
        <v>240.905265439052</v>
      </c>
      <c r="X16" s="15" t="n">
        <f aca="false">X12+X14</f>
        <v>238.460002167099</v>
      </c>
      <c r="Y16" s="15" t="n">
        <f aca="false">Y12+Y14</f>
        <v>236.137002058744</v>
      </c>
      <c r="Z16" s="15" t="n">
        <f aca="false">Z12+Z14</f>
        <v>215.930151955807</v>
      </c>
      <c r="AA16" s="15" t="n">
        <f aca="false">AA12+AA14</f>
        <v>212.633644358017</v>
      </c>
      <c r="AB16" s="15" t="n">
        <f aca="false">AB12+AB14</f>
        <v>209.501962140116</v>
      </c>
      <c r="AC16" s="15" t="n">
        <f aca="false">AC12+AC14</f>
        <v>206.52686403311</v>
      </c>
      <c r="AD16" s="15" t="n">
        <f aca="false">AD12+AD14</f>
        <v>203.700520831455</v>
      </c>
      <c r="AE16" s="15" t="n">
        <f aca="false">AE12+AE14</f>
        <v>201.015494789882</v>
      </c>
      <c r="AF16" s="15" t="n">
        <f aca="false">AF12+AF14</f>
        <v>198.464720050388</v>
      </c>
      <c r="AG16" s="15" t="n">
        <f aca="false">AG12+AG14</f>
        <v>196.041484047868</v>
      </c>
      <c r="AH16" s="15" t="n">
        <f aca="false">AH12+AH14</f>
        <v>193.739409845475</v>
      </c>
      <c r="AI16" s="15" t="n">
        <f aca="false">AI12+AI14</f>
        <v>191.552439353201</v>
      </c>
      <c r="AJ16" s="15" t="n">
        <f aca="false">AJ12+AJ14</f>
        <v>189.474817385541</v>
      </c>
      <c r="AK16" s="15" t="n">
        <f aca="false">AK12+AK14</f>
        <v>187.501076516264</v>
      </c>
    </row>
    <row r="17" customFormat="false" ht="15" hidden="false" customHeight="false" outlineLevel="0" collapsed="false">
      <c r="A17" s="2" t="s">
        <v>144</v>
      </c>
      <c r="B17" s="18" t="n">
        <f aca="false">B16*B5*(1-Assumptions!$B$19)</f>
        <v>0</v>
      </c>
      <c r="C17" s="18" t="n">
        <f aca="false">C16*C5*(1-Assumptions!$B$19)</f>
        <v>0</v>
      </c>
      <c r="D17" s="18" t="n">
        <f aca="false">D16*D5*(1-Assumptions!$B$19)</f>
        <v>0</v>
      </c>
      <c r="E17" s="18" t="n">
        <f aca="false">E16*E5*(1-Assumptions!$B$19)</f>
        <v>0</v>
      </c>
      <c r="F17" s="18" t="n">
        <f aca="false">F16*F5*(1-Assumptions!$B$19)</f>
        <v>0</v>
      </c>
      <c r="G17" s="18" t="n">
        <f aca="false">G16*G5*(1-Assumptions!$B$19)</f>
        <v>0</v>
      </c>
      <c r="H17" s="18" t="n">
        <f aca="false">H16*H5*(1-Assumptions!$B$19)</f>
        <v>0</v>
      </c>
      <c r="I17" s="18" t="n">
        <f aca="false">I16*I5*(1-Assumptions!$B$19)</f>
        <v>0</v>
      </c>
      <c r="J17" s="18" t="n">
        <f aca="false">J16*J5*(1-Assumptions!$B$19)</f>
        <v>0</v>
      </c>
      <c r="K17" s="18" t="n">
        <f aca="false">K16*K5*(1-Assumptions!$B$19)</f>
        <v>37100.3142857143</v>
      </c>
      <c r="L17" s="18" t="n">
        <f aca="false">L16*L5*(1-Assumptions!$B$19)</f>
        <v>30220.5214285714</v>
      </c>
      <c r="M17" s="18" t="n">
        <f aca="false">M16*M5*(1-Assumptions!$B$19)</f>
        <v>52269.6439285714</v>
      </c>
      <c r="N17" s="18" t="n">
        <f aca="false">N16*N5*(1-Assumptions!$B$19)</f>
        <v>11346.7671</v>
      </c>
      <c r="O17" s="18" t="n">
        <f aca="false">O16*O5*(1-Assumptions!$B$19)</f>
        <v>11276.228745</v>
      </c>
      <c r="P17" s="18" t="n">
        <f aca="false">P16*P5*(1-Assumptions!$B$19)</f>
        <v>11209.21730775</v>
      </c>
      <c r="Q17" s="18" t="n">
        <f aca="false">Q16*Q5*(1-Assumptions!$B$19)</f>
        <v>11145.5564423625</v>
      </c>
      <c r="R17" s="18" t="n">
        <f aca="false">R16*R5*(1-Assumptions!$B$19)</f>
        <v>11085.0786202444</v>
      </c>
      <c r="S17" s="18" t="n">
        <f aca="false">S16*S5*(1-Assumptions!$B$19)</f>
        <v>11027.6246892322</v>
      </c>
      <c r="T17" s="18" t="n">
        <f aca="false">T16*T5*(1-Assumptions!$B$19)</f>
        <v>10973.0434547705</v>
      </c>
      <c r="U17" s="18" t="n">
        <f aca="false">U16*U5*(1-Assumptions!$B$19)</f>
        <v>10921.191282032</v>
      </c>
      <c r="V17" s="18" t="n">
        <f aca="false">V16*V5*(1-Assumptions!$B$19)</f>
        <v>10871.9317179304</v>
      </c>
      <c r="W17" s="18" t="n">
        <f aca="false">W16*W5*(1-Assumptions!$B$19)</f>
        <v>8976.13019025908</v>
      </c>
      <c r="X17" s="18" t="n">
        <f aca="false">X16*X5*(1-Assumptions!$B$19)</f>
        <v>8885.01968074612</v>
      </c>
      <c r="Y17" s="18" t="n">
        <f aca="false">Y16*Y5*(1-Assumptions!$B$19)</f>
        <v>8798.46469670882</v>
      </c>
      <c r="Z17" s="18" t="n">
        <f aca="false">Z16*Z5*(1-Assumptions!$B$19)</f>
        <v>8045.55746187337</v>
      </c>
      <c r="AA17" s="18" t="n">
        <f aca="false">AA16*AA5*(1-Assumptions!$B$19)</f>
        <v>7922.72958877971</v>
      </c>
      <c r="AB17" s="18" t="n">
        <f aca="false">AB16*AB5*(1-Assumptions!$B$19)</f>
        <v>7806.04310934072</v>
      </c>
      <c r="AC17" s="18" t="n">
        <f aca="false">AC16*AC5*(1-Assumptions!$B$19)</f>
        <v>7695.19095387368</v>
      </c>
      <c r="AD17" s="18" t="n">
        <f aca="false">AD16*AD5*(1-Assumptions!$B$19)</f>
        <v>7589.88140618</v>
      </c>
      <c r="AE17" s="18" t="n">
        <f aca="false">AE16*AE5*(1-Assumptions!$B$19)</f>
        <v>7489.837335871</v>
      </c>
      <c r="AF17" s="18" t="n">
        <f aca="false">AF16*AF5*(1-Assumptions!$B$19)</f>
        <v>7394.79546907745</v>
      </c>
      <c r="AG17" s="18" t="n">
        <f aca="false">AG16*AG5*(1-Assumptions!$B$19)</f>
        <v>7304.50569562357</v>
      </c>
      <c r="AH17" s="18" t="n">
        <f aca="false">AH16*AH5*(1-Assumptions!$B$19)</f>
        <v>7218.7304108424</v>
      </c>
      <c r="AI17" s="18" t="n">
        <f aca="false">AI16*AI5*(1-Assumptions!$B$19)</f>
        <v>7137.24389030028</v>
      </c>
      <c r="AJ17" s="18" t="n">
        <f aca="false">AJ16*AJ5*(1-Assumptions!$B$19)</f>
        <v>7059.83169578526</v>
      </c>
      <c r="AK17" s="18" t="n">
        <f aca="false">AK16*AK5*(1-Assumptions!$B$19)</f>
        <v>6986.290110996</v>
      </c>
    </row>
    <row r="18" customFormat="false" ht="15" hidden="false" customHeight="false" outlineLevel="0" collapsed="false">
      <c r="A18" s="2" t="s">
        <v>145</v>
      </c>
      <c r="B18" s="15" t="n">
        <f aca="false">IF(B1&gt;=Assumptions!$B$7,CHOOSE(B2,Assumptions!$C$35,Assumptions!$C$36,Assumptions!$C$37)*Assumptions!$B$5*B4,0)</f>
        <v>0</v>
      </c>
      <c r="C18" s="15" t="n">
        <f aca="false">IF(C1&gt;=Assumptions!$B$7,CHOOSE(C2,Assumptions!$C$35,Assumptions!$C$36,Assumptions!$C$37)*Assumptions!$B$5*C4,0)</f>
        <v>0</v>
      </c>
      <c r="D18" s="15" t="n">
        <f aca="false">IF(D1&gt;=Assumptions!$B$7,CHOOSE(D2,Assumptions!$C$35,Assumptions!$C$36,Assumptions!$C$37)*Assumptions!$B$5*D4,0)</f>
        <v>0</v>
      </c>
      <c r="E18" s="15" t="n">
        <f aca="false">IF(E1&gt;=Assumptions!$B$7,CHOOSE(E2,Assumptions!$C$35,Assumptions!$C$36,Assumptions!$C$37)*Assumptions!$B$5*E4,0)</f>
        <v>0</v>
      </c>
      <c r="F18" s="15" t="n">
        <f aca="false">IF(F1&gt;=Assumptions!$B$7,CHOOSE(F2,Assumptions!$C$35,Assumptions!$C$36,Assumptions!$C$37)*Assumptions!$B$5*F4,0)</f>
        <v>0</v>
      </c>
      <c r="G18" s="15" t="n">
        <f aca="false">IF(G1&gt;=Assumptions!$B$7,CHOOSE(G2,Assumptions!$C$35,Assumptions!$C$36,Assumptions!$C$37)*Assumptions!$B$5*G4,0)</f>
        <v>0</v>
      </c>
      <c r="H18" s="15" t="n">
        <f aca="false">IF(H1&gt;=Assumptions!$B$7,CHOOSE(H2,Assumptions!$C$35,Assumptions!$C$36,Assumptions!$C$37)*Assumptions!$B$5*H4,0)</f>
        <v>0</v>
      </c>
      <c r="I18" s="15" t="n">
        <f aca="false">IF(I1&gt;=Assumptions!$B$7,CHOOSE(I2,Assumptions!$C$35,Assumptions!$C$36,Assumptions!$C$37)*Assumptions!$B$5*I4,0)</f>
        <v>0</v>
      </c>
      <c r="J18" s="15" t="n">
        <f aca="false">IF(J1&gt;=Assumptions!$B$7,CHOOSE(J2,Assumptions!$C$35,Assumptions!$C$36,Assumptions!$C$37)*Assumptions!$B$5*J4,0)</f>
        <v>0</v>
      </c>
      <c r="K18" s="15" t="n">
        <f aca="false">IF(K1&gt;=Assumptions!$B$7,CHOOSE(K2,Assumptions!$C$35,Assumptions!$C$36,Assumptions!$C$37)*Assumptions!$B$5*K4,0)</f>
        <v>0</v>
      </c>
      <c r="L18" s="15" t="n">
        <f aca="false">IF(L1&gt;=Assumptions!$B$7,CHOOSE(L2,Assumptions!$C$35,Assumptions!$C$36,Assumptions!$C$37)*Assumptions!$B$5*L4,0)</f>
        <v>0</v>
      </c>
      <c r="M18" s="15" t="n">
        <f aca="false">IF(M1&gt;=Assumptions!$B$7,CHOOSE(M2,Assumptions!$C$35,Assumptions!$C$36,Assumptions!$C$37)*Assumptions!$B$5*M4,0)</f>
        <v>0</v>
      </c>
      <c r="N18" s="15" t="n">
        <f aca="false">IF(N1&gt;=Assumptions!$B$7,CHOOSE(N2,Assumptions!$C$35,Assumptions!$C$36,Assumptions!$C$37)*Assumptions!$B$5*N4,0)</f>
        <v>100</v>
      </c>
      <c r="O18" s="15" t="n">
        <f aca="false">IF(O1&gt;=Assumptions!$B$7,CHOOSE(O2,Assumptions!$C$35,Assumptions!$C$36,Assumptions!$C$37)*Assumptions!$B$5*O4,0)</f>
        <v>100</v>
      </c>
      <c r="P18" s="15" t="n">
        <f aca="false">IF(P1&gt;=Assumptions!$B$7,CHOOSE(P2,Assumptions!$C$35,Assumptions!$C$36,Assumptions!$C$37)*Assumptions!$B$5*P4,0)</f>
        <v>100</v>
      </c>
      <c r="Q18" s="15" t="n">
        <f aca="false">IF(Q1&gt;=Assumptions!$B$7,CHOOSE(Q2,Assumptions!$C$35,Assumptions!$C$36,Assumptions!$C$37)*Assumptions!$B$5*Q4,0)</f>
        <v>100</v>
      </c>
      <c r="R18" s="15" t="n">
        <f aca="false">IF(R1&gt;=Assumptions!$B$7,CHOOSE(R2,Assumptions!$C$35,Assumptions!$C$36,Assumptions!$C$37)*Assumptions!$B$5*R4,0)</f>
        <v>100</v>
      </c>
      <c r="S18" s="15" t="n">
        <f aca="false">IF(S1&gt;=Assumptions!$B$7,CHOOSE(S2,Assumptions!$C$35,Assumptions!$C$36,Assumptions!$C$37)*Assumptions!$B$5*S4,0)</f>
        <v>100</v>
      </c>
      <c r="T18" s="15" t="n">
        <f aca="false">IF(T1&gt;=Assumptions!$B$7,CHOOSE(T2,Assumptions!$C$35,Assumptions!$C$36,Assumptions!$C$37)*Assumptions!$B$5*T4,0)</f>
        <v>100</v>
      </c>
      <c r="U18" s="15" t="n">
        <f aca="false">IF(U1&gt;=Assumptions!$B$7,CHOOSE(U2,Assumptions!$C$35,Assumptions!$C$36,Assumptions!$C$37)*Assumptions!$B$5*U4,0)</f>
        <v>100</v>
      </c>
      <c r="V18" s="15" t="n">
        <f aca="false">IF(V1&gt;=Assumptions!$B$7,CHOOSE(V2,Assumptions!$C$35,Assumptions!$C$36,Assumptions!$C$37)*Assumptions!$B$5*V4,0)</f>
        <v>100</v>
      </c>
      <c r="W18" s="15" t="n">
        <f aca="false">IF(W1&gt;=Assumptions!$B$7,CHOOSE(W2,Assumptions!$C$35,Assumptions!$C$36,Assumptions!$C$37)*Assumptions!$B$5*W4,0)</f>
        <v>80</v>
      </c>
      <c r="X18" s="15" t="n">
        <f aca="false">IF(X1&gt;=Assumptions!$B$7,CHOOSE(X2,Assumptions!$C$35,Assumptions!$C$36,Assumptions!$C$37)*Assumptions!$B$5*X4,0)</f>
        <v>80</v>
      </c>
      <c r="Y18" s="15" t="n">
        <f aca="false">IF(Y1&gt;=Assumptions!$B$7,CHOOSE(Y2,Assumptions!$C$35,Assumptions!$C$36,Assumptions!$C$37)*Assumptions!$B$5*Y4,0)</f>
        <v>80</v>
      </c>
      <c r="Z18" s="15" t="n">
        <f aca="false">IF(Z1&gt;=Assumptions!$B$7,CHOOSE(Z2,Assumptions!$C$35,Assumptions!$C$36,Assumptions!$C$37)*Assumptions!$B$5*Z4,0)</f>
        <v>160</v>
      </c>
      <c r="AA18" s="15" t="n">
        <f aca="false">IF(AA1&gt;=Assumptions!$B$7,CHOOSE(AA2,Assumptions!$C$35,Assumptions!$C$36,Assumptions!$C$37)*Assumptions!$B$5*AA4,0)</f>
        <v>160</v>
      </c>
      <c r="AB18" s="15" t="n">
        <f aca="false">IF(AB1&gt;=Assumptions!$B$7,CHOOSE(AB2,Assumptions!$C$35,Assumptions!$C$36,Assumptions!$C$37)*Assumptions!$B$5*AB4,0)</f>
        <v>160</v>
      </c>
      <c r="AC18" s="15" t="n">
        <f aca="false">IF(AC1&gt;=Assumptions!$B$7,CHOOSE(AC2,Assumptions!$C$35,Assumptions!$C$36,Assumptions!$C$37)*Assumptions!$B$5*AC4,0)</f>
        <v>160</v>
      </c>
      <c r="AD18" s="15" t="n">
        <f aca="false">IF(AD1&gt;=Assumptions!$B$7,CHOOSE(AD2,Assumptions!$C$35,Assumptions!$C$36,Assumptions!$C$37)*Assumptions!$B$5*AD4,0)</f>
        <v>160</v>
      </c>
      <c r="AE18" s="15" t="n">
        <f aca="false">IF(AE1&gt;=Assumptions!$B$7,CHOOSE(AE2,Assumptions!$C$35,Assumptions!$C$36,Assumptions!$C$37)*Assumptions!$B$5*AE4,0)</f>
        <v>160</v>
      </c>
      <c r="AF18" s="15" t="n">
        <f aca="false">IF(AF1&gt;=Assumptions!$B$7,CHOOSE(AF2,Assumptions!$C$35,Assumptions!$C$36,Assumptions!$C$37)*Assumptions!$B$5*AF4,0)</f>
        <v>160</v>
      </c>
      <c r="AG18" s="15" t="n">
        <f aca="false">IF(AG1&gt;=Assumptions!$B$7,CHOOSE(AG2,Assumptions!$C$35,Assumptions!$C$36,Assumptions!$C$37)*Assumptions!$B$5*AG4,0)</f>
        <v>160</v>
      </c>
      <c r="AH18" s="15" t="n">
        <f aca="false">IF(AH1&gt;=Assumptions!$B$7,CHOOSE(AH2,Assumptions!$C$35,Assumptions!$C$36,Assumptions!$C$37)*Assumptions!$B$5*AH4,0)</f>
        <v>160</v>
      </c>
      <c r="AI18" s="15" t="n">
        <f aca="false">IF(AI1&gt;=Assumptions!$B$7,CHOOSE(AI2,Assumptions!$C$35,Assumptions!$C$36,Assumptions!$C$37)*Assumptions!$B$5*AI4,0)</f>
        <v>160</v>
      </c>
      <c r="AJ18" s="15" t="n">
        <f aca="false">IF(AJ1&gt;=Assumptions!$B$7,CHOOSE(AJ2,Assumptions!$C$35,Assumptions!$C$36,Assumptions!$C$37)*Assumptions!$B$5*AJ4,0)</f>
        <v>160</v>
      </c>
      <c r="AK18" s="15" t="n">
        <f aca="false">IF(AK1&gt;=Assumptions!$B$7,CHOOSE(AK2,Assumptions!$C$35,Assumptions!$C$36,Assumptions!$C$37)*Assumptions!$B$5*AK4,0)</f>
        <v>160</v>
      </c>
    </row>
    <row r="19" customFormat="false" ht="15" hidden="false" customHeight="false" outlineLevel="0" collapsed="false">
      <c r="A19" s="2" t="s">
        <v>146</v>
      </c>
      <c r="B19" s="18" t="n">
        <f aca="false">B18*B5*(1-Assumptions!$B$20)</f>
        <v>0</v>
      </c>
      <c r="C19" s="18" t="n">
        <f aca="false">C18*C5*(1-Assumptions!$B$20)</f>
        <v>0</v>
      </c>
      <c r="D19" s="18" t="n">
        <f aca="false">D18*D5*(1-Assumptions!$B$20)</f>
        <v>0</v>
      </c>
      <c r="E19" s="18" t="n">
        <f aca="false">E18*E5*(1-Assumptions!$B$20)</f>
        <v>0</v>
      </c>
      <c r="F19" s="18" t="n">
        <f aca="false">F18*F5*(1-Assumptions!$B$20)</f>
        <v>0</v>
      </c>
      <c r="G19" s="18" t="n">
        <f aca="false">G18*G5*(1-Assumptions!$B$20)</f>
        <v>0</v>
      </c>
      <c r="H19" s="18" t="n">
        <f aca="false">H18*H5*(1-Assumptions!$B$20)</f>
        <v>0</v>
      </c>
      <c r="I19" s="18" t="n">
        <f aca="false">I18*I5*(1-Assumptions!$B$20)</f>
        <v>0</v>
      </c>
      <c r="J19" s="18" t="n">
        <f aca="false">J18*J5*(1-Assumptions!$B$20)</f>
        <v>0</v>
      </c>
      <c r="K19" s="18" t="n">
        <f aca="false">K18*K5*(1-Assumptions!$B$20)</f>
        <v>0</v>
      </c>
      <c r="L19" s="18" t="n">
        <f aca="false">L18*L5*(1-Assumptions!$B$20)</f>
        <v>0</v>
      </c>
      <c r="M19" s="18" t="n">
        <f aca="false">M18*M5*(1-Assumptions!$B$20)</f>
        <v>0</v>
      </c>
      <c r="N19" s="18" t="n">
        <f aca="false">N18*N5*(1-Assumptions!$B$20)</f>
        <v>3375</v>
      </c>
      <c r="O19" s="18" t="n">
        <f aca="false">O18*O5*(1-Assumptions!$B$20)</f>
        <v>3375</v>
      </c>
      <c r="P19" s="18" t="n">
        <f aca="false">P18*P5*(1-Assumptions!$B$20)</f>
        <v>3375</v>
      </c>
      <c r="Q19" s="18" t="n">
        <f aca="false">Q18*Q5*(1-Assumptions!$B$20)</f>
        <v>3375</v>
      </c>
      <c r="R19" s="18" t="n">
        <f aca="false">R18*R5*(1-Assumptions!$B$20)</f>
        <v>3375</v>
      </c>
      <c r="S19" s="18" t="n">
        <f aca="false">S18*S5*(1-Assumptions!$B$20)</f>
        <v>3375</v>
      </c>
      <c r="T19" s="18" t="n">
        <f aca="false">T18*T5*(1-Assumptions!$B$20)</f>
        <v>3375</v>
      </c>
      <c r="U19" s="18" t="n">
        <f aca="false">U18*U5*(1-Assumptions!$B$20)</f>
        <v>3375</v>
      </c>
      <c r="V19" s="18" t="n">
        <f aca="false">V18*V5*(1-Assumptions!$B$20)</f>
        <v>3375</v>
      </c>
      <c r="W19" s="18" t="n">
        <f aca="false">W18*W5*(1-Assumptions!$B$20)</f>
        <v>2430</v>
      </c>
      <c r="X19" s="18" t="n">
        <f aca="false">X18*X5*(1-Assumptions!$B$20)</f>
        <v>2430</v>
      </c>
      <c r="Y19" s="18" t="n">
        <f aca="false">Y18*Y5*(1-Assumptions!$B$20)</f>
        <v>2430</v>
      </c>
      <c r="Z19" s="18" t="n">
        <f aca="false">Z18*Z5*(1-Assumptions!$B$20)</f>
        <v>4860</v>
      </c>
      <c r="AA19" s="18" t="n">
        <f aca="false">AA18*AA5*(1-Assumptions!$B$20)</f>
        <v>4860</v>
      </c>
      <c r="AB19" s="18" t="n">
        <f aca="false">AB18*AB5*(1-Assumptions!$B$20)</f>
        <v>4860</v>
      </c>
      <c r="AC19" s="18" t="n">
        <f aca="false">AC18*AC5*(1-Assumptions!$B$20)</f>
        <v>4860</v>
      </c>
      <c r="AD19" s="18" t="n">
        <f aca="false">AD18*AD5*(1-Assumptions!$B$20)</f>
        <v>4860</v>
      </c>
      <c r="AE19" s="18" t="n">
        <f aca="false">AE18*AE5*(1-Assumptions!$B$20)</f>
        <v>4860</v>
      </c>
      <c r="AF19" s="18" t="n">
        <f aca="false">AF18*AF5*(1-Assumptions!$B$20)</f>
        <v>4860</v>
      </c>
      <c r="AG19" s="18" t="n">
        <f aca="false">AG18*AG5*(1-Assumptions!$B$20)</f>
        <v>4860</v>
      </c>
      <c r="AH19" s="18" t="n">
        <f aca="false">AH18*AH5*(1-Assumptions!$B$20)</f>
        <v>4860</v>
      </c>
      <c r="AI19" s="18" t="n">
        <f aca="false">AI18*AI5*(1-Assumptions!$B$20)</f>
        <v>4860</v>
      </c>
      <c r="AJ19" s="18" t="n">
        <f aca="false">AJ18*AJ5*(1-Assumptions!$B$20)</f>
        <v>4860</v>
      </c>
      <c r="AK19" s="18" t="n">
        <f aca="false">AK18*AK5*(1-Assumptions!$B$20)</f>
        <v>4860</v>
      </c>
    </row>
    <row r="20" customFormat="false" ht="15" hidden="false" customHeight="false" outlineLevel="0" collapsed="false">
      <c r="A20" s="2" t="s">
        <v>147</v>
      </c>
      <c r="B20" s="15" t="n">
        <f aca="false">B8+B18*Assumptions!$B$6*Assumptions!$B$9</f>
        <v>30000</v>
      </c>
      <c r="C20" s="15" t="n">
        <f aca="false">B20+C8+C18*Assumptions!$B$6*Assumptions!$B$9</f>
        <v>60000</v>
      </c>
      <c r="D20" s="15" t="n">
        <f aca="false">C20+D8+D18*Assumptions!$B$6*Assumptions!$B$9</f>
        <v>90000</v>
      </c>
      <c r="E20" s="15" t="n">
        <f aca="false">D20+E8+E18*Assumptions!$B$6*Assumptions!$B$9</f>
        <v>96075</v>
      </c>
      <c r="F20" s="15" t="n">
        <f aca="false">E20+F8+F18*Assumptions!$B$6*Assumptions!$B$9</f>
        <v>102150</v>
      </c>
      <c r="G20" s="15" t="n">
        <f aca="false">F20+G8+G18*Assumptions!$B$6*Assumptions!$B$9</f>
        <v>108225</v>
      </c>
      <c r="H20" s="15" t="n">
        <f aca="false">G20+H8+H18*Assumptions!$B$6*Assumptions!$B$9</f>
        <v>114300</v>
      </c>
      <c r="I20" s="15" t="n">
        <f aca="false">H20+I8+I18*Assumptions!$B$6*Assumptions!$B$9</f>
        <v>120375</v>
      </c>
      <c r="J20" s="15" t="n">
        <f aca="false">I20+J8+J18*Assumptions!$B$6*Assumptions!$B$9</f>
        <v>126450</v>
      </c>
      <c r="K20" s="15" t="n">
        <f aca="false">J20+K8+K18*Assumptions!$B$6*Assumptions!$B$9</f>
        <v>132525</v>
      </c>
      <c r="L20" s="15" t="n">
        <f aca="false">K20+L8+L18*Assumptions!$B$6*Assumptions!$B$9</f>
        <v>138600</v>
      </c>
      <c r="M20" s="15" t="n">
        <f aca="false">L20+M8+M18*Assumptions!$B$6*Assumptions!$B$9</f>
        <v>144675</v>
      </c>
      <c r="N20" s="15" t="n">
        <f aca="false">M20+N8+N18*Assumptions!$B$6*Assumptions!$B$9</f>
        <v>148450</v>
      </c>
      <c r="O20" s="15" t="n">
        <f aca="false">N20+O8+O18*Assumptions!$B$6*Assumptions!$B$9</f>
        <v>152225</v>
      </c>
      <c r="P20" s="15" t="n">
        <f aca="false">O20+P8+P18*Assumptions!$B$6*Assumptions!$B$9</f>
        <v>156000</v>
      </c>
      <c r="Q20" s="15" t="n">
        <f aca="false">P20+Q8+Q18*Assumptions!$B$6*Assumptions!$B$9</f>
        <v>159775</v>
      </c>
      <c r="R20" s="15" t="n">
        <f aca="false">Q20+R8+R18*Assumptions!$B$6*Assumptions!$B$9</f>
        <v>163550</v>
      </c>
      <c r="S20" s="15" t="n">
        <f aca="false">R20+S8+S18*Assumptions!$B$6*Assumptions!$B$9</f>
        <v>167325</v>
      </c>
      <c r="T20" s="15" t="n">
        <f aca="false">S20+T8+T18*Assumptions!$B$6*Assumptions!$B$9</f>
        <v>171100</v>
      </c>
      <c r="U20" s="15" t="n">
        <f aca="false">T20+U8+U18*Assumptions!$B$6*Assumptions!$B$9</f>
        <v>174875</v>
      </c>
      <c r="V20" s="15" t="n">
        <f aca="false">U20+V8+V18*Assumptions!$B$6*Assumptions!$B$9</f>
        <v>178650</v>
      </c>
      <c r="W20" s="15" t="n">
        <f aca="false">V20+W8+W18*Assumptions!$B$6*Assumptions!$B$9</f>
        <v>181670</v>
      </c>
      <c r="X20" s="15" t="n">
        <f aca="false">W20+X8+X18*Assumptions!$B$6*Assumptions!$B$9</f>
        <v>184690</v>
      </c>
      <c r="Y20" s="15" t="n">
        <f aca="false">X20+Y8+Y18*Assumptions!$B$6*Assumptions!$B$9</f>
        <v>187710</v>
      </c>
      <c r="Z20" s="15" t="n">
        <f aca="false">Y20+Z8+Z18*Assumptions!$B$6*Assumptions!$B$9</f>
        <v>190240</v>
      </c>
      <c r="AA20" s="15" t="n">
        <f aca="false">Z20+AA8+AA18*Assumptions!$B$6*Assumptions!$B$9</f>
        <v>192770</v>
      </c>
      <c r="AB20" s="15" t="n">
        <f aca="false">AA20+AB8+AB18*Assumptions!$B$6*Assumptions!$B$9</f>
        <v>195300</v>
      </c>
      <c r="AC20" s="15" t="n">
        <f aca="false">AB20+AC8+AC18*Assumptions!$B$6*Assumptions!$B$9</f>
        <v>197830</v>
      </c>
      <c r="AD20" s="15" t="n">
        <f aca="false">AC20+AD8+AD18*Assumptions!$B$6*Assumptions!$B$9</f>
        <v>200360</v>
      </c>
      <c r="AE20" s="15" t="n">
        <f aca="false">AD20+AE8+AE18*Assumptions!$B$6*Assumptions!$B$9</f>
        <v>202890</v>
      </c>
      <c r="AF20" s="15" t="n">
        <f aca="false">AE20+AF8+AF18*Assumptions!$B$6*Assumptions!$B$9</f>
        <v>205420</v>
      </c>
      <c r="AG20" s="15" t="n">
        <f aca="false">AF20+AG8+AG18*Assumptions!$B$6*Assumptions!$B$9</f>
        <v>207950</v>
      </c>
      <c r="AH20" s="15" t="n">
        <f aca="false">AG20+AH8+AH18*Assumptions!$B$6*Assumptions!$B$9</f>
        <v>210480</v>
      </c>
      <c r="AI20" s="15" t="n">
        <f aca="false">AH20+AI8+AI18*Assumptions!$B$6*Assumptions!$B$9</f>
        <v>213010</v>
      </c>
      <c r="AJ20" s="15" t="n">
        <f aca="false">AI20+AJ8+AJ18*Assumptions!$B$6*Assumptions!$B$9</f>
        <v>215540</v>
      </c>
      <c r="AK20" s="15" t="n">
        <f aca="false">AJ20+AK8+AK18*Assumptions!$B$6*Assumptions!$B$9</f>
        <v>218070</v>
      </c>
    </row>
    <row r="21" customFormat="false" ht="15" hidden="false" customHeight="false" outlineLevel="0" collapsed="false">
      <c r="A21" s="2" t="s">
        <v>148</v>
      </c>
      <c r="B21" s="15" t="n">
        <f aca="false">B8+Assumptions!$B$8*B20</f>
        <v>32400</v>
      </c>
      <c r="C21" s="15" t="n">
        <f aca="false">C8+Assumptions!$B$8*C20</f>
        <v>34800</v>
      </c>
      <c r="D21" s="15" t="n">
        <f aca="false">D8+Assumptions!$B$8*D20</f>
        <v>37200</v>
      </c>
      <c r="E21" s="15" t="n">
        <f aca="false">E8+Assumptions!$B$8*E20</f>
        <v>13761</v>
      </c>
      <c r="F21" s="15" t="n">
        <f aca="false">F8+Assumptions!$B$8*F20</f>
        <v>14247</v>
      </c>
      <c r="G21" s="15" t="n">
        <f aca="false">G8+Assumptions!$B$8*G20</f>
        <v>14733</v>
      </c>
      <c r="H21" s="15" t="n">
        <f aca="false">H8+Assumptions!$B$8*H20</f>
        <v>15219</v>
      </c>
      <c r="I21" s="15" t="n">
        <f aca="false">I8+Assumptions!$B$8*I20</f>
        <v>15705</v>
      </c>
      <c r="J21" s="15" t="n">
        <f aca="false">J8+Assumptions!$B$8*J20</f>
        <v>16191</v>
      </c>
      <c r="K21" s="15" t="n">
        <f aca="false">K8+Assumptions!$B$8*K20</f>
        <v>16677</v>
      </c>
      <c r="L21" s="15" t="n">
        <f aca="false">L8+Assumptions!$B$8*L20</f>
        <v>17163</v>
      </c>
      <c r="M21" s="15" t="n">
        <f aca="false">M8+Assumptions!$B$8*M20</f>
        <v>17649</v>
      </c>
      <c r="N21" s="15" t="n">
        <f aca="false">N8+Assumptions!$B$8*N20</f>
        <v>15476</v>
      </c>
      <c r="O21" s="15" t="n">
        <f aca="false">O8+Assumptions!$B$8*O20</f>
        <v>15778</v>
      </c>
      <c r="P21" s="15" t="n">
        <f aca="false">P8+Assumptions!$B$8*P20</f>
        <v>16080</v>
      </c>
      <c r="Q21" s="15" t="n">
        <f aca="false">Q8+Assumptions!$B$8*Q20</f>
        <v>16382</v>
      </c>
      <c r="R21" s="15" t="n">
        <f aca="false">R8+Assumptions!$B$8*R20</f>
        <v>16684</v>
      </c>
      <c r="S21" s="15" t="n">
        <f aca="false">S8+Assumptions!$B$8*S20</f>
        <v>16986</v>
      </c>
      <c r="T21" s="15" t="n">
        <f aca="false">T8+Assumptions!$B$8*T20</f>
        <v>17288</v>
      </c>
      <c r="U21" s="15" t="n">
        <f aca="false">U8+Assumptions!$B$8*U20</f>
        <v>17590</v>
      </c>
      <c r="V21" s="15" t="n">
        <f aca="false">V8+Assumptions!$B$8*V20</f>
        <v>17892</v>
      </c>
      <c r="W21" s="15" t="n">
        <f aca="false">W8+Assumptions!$B$8*W20</f>
        <v>17413.6</v>
      </c>
      <c r="X21" s="15" t="n">
        <f aca="false">X8+Assumptions!$B$8*X20</f>
        <v>17655.2</v>
      </c>
      <c r="Y21" s="15" t="n">
        <f aca="false">Y8+Assumptions!$B$8*Y20</f>
        <v>17896.8</v>
      </c>
      <c r="Z21" s="15" t="n">
        <f aca="false">Z8+Assumptions!$B$8*Z20</f>
        <v>17469.2</v>
      </c>
      <c r="AA21" s="15" t="n">
        <f aca="false">AA8+Assumptions!$B$8*AA20</f>
        <v>17671.6</v>
      </c>
      <c r="AB21" s="15" t="n">
        <f aca="false">AB8+Assumptions!$B$8*AB20</f>
        <v>17874</v>
      </c>
      <c r="AC21" s="15" t="n">
        <f aca="false">AC8+Assumptions!$B$8*AC20</f>
        <v>18076.4</v>
      </c>
      <c r="AD21" s="15" t="n">
        <f aca="false">AD8+Assumptions!$B$8*AD20</f>
        <v>18278.8</v>
      </c>
      <c r="AE21" s="15" t="n">
        <f aca="false">AE8+Assumptions!$B$8*AE20</f>
        <v>18481.2</v>
      </c>
      <c r="AF21" s="15" t="n">
        <f aca="false">AF8+Assumptions!$B$8*AF20</f>
        <v>18683.6</v>
      </c>
      <c r="AG21" s="15" t="n">
        <f aca="false">AG8+Assumptions!$B$8*AG20</f>
        <v>18886</v>
      </c>
      <c r="AH21" s="15" t="n">
        <f aca="false">AH8+Assumptions!$B$8*AH20</f>
        <v>19088.4</v>
      </c>
      <c r="AI21" s="15" t="n">
        <f aca="false">AI8+Assumptions!$B$8*AI20</f>
        <v>19290.8</v>
      </c>
      <c r="AJ21" s="15" t="n">
        <f aca="false">AJ8+Assumptions!$B$8*AJ20</f>
        <v>19493.2</v>
      </c>
      <c r="AK21" s="15" t="n">
        <f aca="false">AK8+Assumptions!$B$8*AK20</f>
        <v>19695.6</v>
      </c>
    </row>
    <row r="22" customFormat="false" ht="15" hidden="false" customHeight="false" outlineLevel="0" collapsed="false">
      <c r="A22" s="2" t="s">
        <v>149</v>
      </c>
      <c r="B22" s="18" t="n">
        <f aca="false">IF(B1&gt;=Assumptions!$B$7,B21/1000*Assumptions!$C$50,0)</f>
        <v>0</v>
      </c>
      <c r="C22" s="18" t="n">
        <f aca="false">IF(C1&gt;=Assumptions!$B$7,C21/1000*Assumptions!$C$50,0)</f>
        <v>0</v>
      </c>
      <c r="D22" s="18" t="n">
        <f aca="false">IF(D1&gt;=Assumptions!$B$7,D21/1000*Assumptions!$C$50,0)</f>
        <v>0</v>
      </c>
      <c r="E22" s="18" t="n">
        <f aca="false">IF(E1&gt;=Assumptions!$B$7,E21/1000*Assumptions!$C$50,0)</f>
        <v>0</v>
      </c>
      <c r="F22" s="18" t="n">
        <f aca="false">IF(F1&gt;=Assumptions!$B$7,F21/1000*Assumptions!$C$50,0)</f>
        <v>0</v>
      </c>
      <c r="G22" s="18" t="n">
        <f aca="false">IF(G1&gt;=Assumptions!$B$7,G21/1000*Assumptions!$C$50,0)</f>
        <v>0</v>
      </c>
      <c r="H22" s="18" t="n">
        <f aca="false">IF(H1&gt;=Assumptions!$B$7,H21/1000*Assumptions!$C$50,0)</f>
        <v>0</v>
      </c>
      <c r="I22" s="18" t="n">
        <f aca="false">IF(I1&gt;=Assumptions!$B$7,I21/1000*Assumptions!$C$50,0)</f>
        <v>0</v>
      </c>
      <c r="J22" s="18" t="n">
        <f aca="false">IF(J1&gt;=Assumptions!$B$7,J21/1000*Assumptions!$C$50,0)</f>
        <v>0</v>
      </c>
      <c r="K22" s="18" t="n">
        <f aca="false">IF(K1&gt;=Assumptions!$B$7,K21/1000*Assumptions!$C$50,0)</f>
        <v>416.925</v>
      </c>
      <c r="L22" s="18" t="n">
        <f aca="false">IF(L1&gt;=Assumptions!$B$7,L21/1000*Assumptions!$C$50,0)</f>
        <v>429.075</v>
      </c>
      <c r="M22" s="18" t="n">
        <f aca="false">IF(M1&gt;=Assumptions!$B$7,M21/1000*Assumptions!$C$50,0)</f>
        <v>441.225</v>
      </c>
      <c r="N22" s="18" t="n">
        <f aca="false">IF(N1&gt;=Assumptions!$B$7,N21/1000*Assumptions!$C$50,0)</f>
        <v>386.9</v>
      </c>
      <c r="O22" s="18" t="n">
        <f aca="false">IF(O1&gt;=Assumptions!$B$7,O21/1000*Assumptions!$C$50,0)</f>
        <v>394.45</v>
      </c>
      <c r="P22" s="18" t="n">
        <f aca="false">IF(P1&gt;=Assumptions!$B$7,P21/1000*Assumptions!$C$50,0)</f>
        <v>402</v>
      </c>
      <c r="Q22" s="18" t="n">
        <f aca="false">IF(Q1&gt;=Assumptions!$B$7,Q21/1000*Assumptions!$C$50,0)</f>
        <v>409.55</v>
      </c>
      <c r="R22" s="18" t="n">
        <f aca="false">IF(R1&gt;=Assumptions!$B$7,R21/1000*Assumptions!$C$50,0)</f>
        <v>417.1</v>
      </c>
      <c r="S22" s="18" t="n">
        <f aca="false">IF(S1&gt;=Assumptions!$B$7,S21/1000*Assumptions!$C$50,0)</f>
        <v>424.65</v>
      </c>
      <c r="T22" s="18" t="n">
        <f aca="false">IF(T1&gt;=Assumptions!$B$7,T21/1000*Assumptions!$C$50,0)</f>
        <v>432.2</v>
      </c>
      <c r="U22" s="18" t="n">
        <f aca="false">IF(U1&gt;=Assumptions!$B$7,U21/1000*Assumptions!$C$50,0)</f>
        <v>439.75</v>
      </c>
      <c r="V22" s="18" t="n">
        <f aca="false">IF(V1&gt;=Assumptions!$B$7,V21/1000*Assumptions!$C$50,0)</f>
        <v>447.3</v>
      </c>
      <c r="W22" s="18" t="n">
        <f aca="false">IF(W1&gt;=Assumptions!$B$7,W21/1000*Assumptions!$C$50,0)</f>
        <v>435.34</v>
      </c>
      <c r="X22" s="18" t="n">
        <f aca="false">IF(X1&gt;=Assumptions!$B$7,X21/1000*Assumptions!$C$50,0)</f>
        <v>441.38</v>
      </c>
      <c r="Y22" s="18" t="n">
        <f aca="false">IF(Y1&gt;=Assumptions!$B$7,Y21/1000*Assumptions!$C$50,0)</f>
        <v>447.42</v>
      </c>
      <c r="Z22" s="18" t="n">
        <f aca="false">IF(Z1&gt;=Assumptions!$B$7,Z21/1000*Assumptions!$C$50,0)</f>
        <v>436.73</v>
      </c>
      <c r="AA22" s="18" t="n">
        <f aca="false">IF(AA1&gt;=Assumptions!$B$7,AA21/1000*Assumptions!$C$50,0)</f>
        <v>441.79</v>
      </c>
      <c r="AB22" s="18" t="n">
        <f aca="false">IF(AB1&gt;=Assumptions!$B$7,AB21/1000*Assumptions!$C$50,0)</f>
        <v>446.85</v>
      </c>
      <c r="AC22" s="18" t="n">
        <f aca="false">IF(AC1&gt;=Assumptions!$B$7,AC21/1000*Assumptions!$C$50,0)</f>
        <v>451.91</v>
      </c>
      <c r="AD22" s="18" t="n">
        <f aca="false">IF(AD1&gt;=Assumptions!$B$7,AD21/1000*Assumptions!$C$50,0)</f>
        <v>456.97</v>
      </c>
      <c r="AE22" s="18" t="n">
        <f aca="false">IF(AE1&gt;=Assumptions!$B$7,AE21/1000*Assumptions!$C$50,0)</f>
        <v>462.03</v>
      </c>
      <c r="AF22" s="18" t="n">
        <f aca="false">IF(AF1&gt;=Assumptions!$B$7,AF21/1000*Assumptions!$C$50,0)</f>
        <v>467.09</v>
      </c>
      <c r="AG22" s="18" t="n">
        <f aca="false">IF(AG1&gt;=Assumptions!$B$7,AG21/1000*Assumptions!$C$50,0)</f>
        <v>472.15</v>
      </c>
      <c r="AH22" s="18" t="n">
        <f aca="false">IF(AH1&gt;=Assumptions!$B$7,AH21/1000*Assumptions!$C$50,0)</f>
        <v>477.21</v>
      </c>
      <c r="AI22" s="18" t="n">
        <f aca="false">IF(AI1&gt;=Assumptions!$B$7,AI21/1000*Assumptions!$C$50,0)</f>
        <v>482.27</v>
      </c>
      <c r="AJ22" s="18" t="n">
        <f aca="false">IF(AJ1&gt;=Assumptions!$B$7,AJ21/1000*Assumptions!$C$50,0)</f>
        <v>487.33</v>
      </c>
      <c r="AK22" s="18" t="n">
        <f aca="false">IF(AK1&gt;=Assumptions!$B$7,AK21/1000*Assumptions!$C$50,0)</f>
        <v>492.39</v>
      </c>
    </row>
    <row r="23" customFormat="false" ht="15" hidden="false" customHeight="false" outlineLevel="0" collapsed="false">
      <c r="A23" s="2" t="s">
        <v>150</v>
      </c>
      <c r="B23" s="18" t="n">
        <f aca="false">IF(B1&gt;=Assumptions!$B$7,CHOOSE(B2,Assumptions!$C$43,Assumptions!$C$44,Assumptions!$C$45)*Assumptions!$C$42/12,0)</f>
        <v>0</v>
      </c>
      <c r="C23" s="18" t="n">
        <f aca="false">IF(C1&gt;=Assumptions!$B$7,CHOOSE(C2,Assumptions!$C$43,Assumptions!$C$44,Assumptions!$C$45)*Assumptions!$C$42/12,0)</f>
        <v>0</v>
      </c>
      <c r="D23" s="18" t="n">
        <f aca="false">IF(D1&gt;=Assumptions!$B$7,CHOOSE(D2,Assumptions!$C$43,Assumptions!$C$44,Assumptions!$C$45)*Assumptions!$C$42/12,0)</f>
        <v>0</v>
      </c>
      <c r="E23" s="18" t="n">
        <f aca="false">IF(E1&gt;=Assumptions!$B$7,CHOOSE(E2,Assumptions!$C$43,Assumptions!$C$44,Assumptions!$C$45)*Assumptions!$C$42/12,0)</f>
        <v>0</v>
      </c>
      <c r="F23" s="18" t="n">
        <f aca="false">IF(F1&gt;=Assumptions!$B$7,CHOOSE(F2,Assumptions!$C$43,Assumptions!$C$44,Assumptions!$C$45)*Assumptions!$C$42/12,0)</f>
        <v>0</v>
      </c>
      <c r="G23" s="18" t="n">
        <f aca="false">IF(G1&gt;=Assumptions!$B$7,CHOOSE(G2,Assumptions!$C$43,Assumptions!$C$44,Assumptions!$C$45)*Assumptions!$C$42/12,0)</f>
        <v>0</v>
      </c>
      <c r="H23" s="18" t="n">
        <f aca="false">IF(H1&gt;=Assumptions!$B$7,CHOOSE(H2,Assumptions!$C$43,Assumptions!$C$44,Assumptions!$C$45)*Assumptions!$C$42/12,0)</f>
        <v>0</v>
      </c>
      <c r="I23" s="18" t="n">
        <f aca="false">IF(I1&gt;=Assumptions!$B$7,CHOOSE(I2,Assumptions!$C$43,Assumptions!$C$44,Assumptions!$C$45)*Assumptions!$C$42/12,0)</f>
        <v>0</v>
      </c>
      <c r="J23" s="18" t="n">
        <f aca="false">IF(J1&gt;=Assumptions!$B$7,CHOOSE(J2,Assumptions!$C$43,Assumptions!$C$44,Assumptions!$C$45)*Assumptions!$C$42/12,0)</f>
        <v>0</v>
      </c>
      <c r="K23" s="18" t="n">
        <f aca="false">IF(K1&gt;=Assumptions!$B$7,CHOOSE(K2,Assumptions!$C$43,Assumptions!$C$44,Assumptions!$C$45)*Assumptions!$C$42/12,0)</f>
        <v>5000</v>
      </c>
      <c r="L23" s="18" t="n">
        <f aca="false">IF(L1&gt;=Assumptions!$B$7,CHOOSE(L2,Assumptions!$C$43,Assumptions!$C$44,Assumptions!$C$45)*Assumptions!$C$42/12,0)</f>
        <v>5000</v>
      </c>
      <c r="M23" s="18" t="n">
        <f aca="false">IF(M1&gt;=Assumptions!$B$7,CHOOSE(M2,Assumptions!$C$43,Assumptions!$C$44,Assumptions!$C$45)*Assumptions!$C$42/12,0)</f>
        <v>5000</v>
      </c>
      <c r="N23" s="18" t="n">
        <f aca="false">IF(N1&gt;=Assumptions!$B$7,CHOOSE(N2,Assumptions!$C$43,Assumptions!$C$44,Assumptions!$C$45)*Assumptions!$C$42/12,0)</f>
        <v>8000</v>
      </c>
      <c r="O23" s="18" t="n">
        <f aca="false">IF(O1&gt;=Assumptions!$B$7,CHOOSE(O2,Assumptions!$C$43,Assumptions!$C$44,Assumptions!$C$45)*Assumptions!$C$42/12,0)</f>
        <v>8000</v>
      </c>
      <c r="P23" s="18" t="n">
        <f aca="false">IF(P1&gt;=Assumptions!$B$7,CHOOSE(P2,Assumptions!$C$43,Assumptions!$C$44,Assumptions!$C$45)*Assumptions!$C$42/12,0)</f>
        <v>8000</v>
      </c>
      <c r="Q23" s="18" t="n">
        <f aca="false">IF(Q1&gt;=Assumptions!$B$7,CHOOSE(Q2,Assumptions!$C$43,Assumptions!$C$44,Assumptions!$C$45)*Assumptions!$C$42/12,0)</f>
        <v>8000</v>
      </c>
      <c r="R23" s="18" t="n">
        <f aca="false">IF(R1&gt;=Assumptions!$B$7,CHOOSE(R2,Assumptions!$C$43,Assumptions!$C$44,Assumptions!$C$45)*Assumptions!$C$42/12,0)</f>
        <v>8000</v>
      </c>
      <c r="S23" s="18" t="n">
        <f aca="false">IF(S1&gt;=Assumptions!$B$7,CHOOSE(S2,Assumptions!$C$43,Assumptions!$C$44,Assumptions!$C$45)*Assumptions!$C$42/12,0)</f>
        <v>8000</v>
      </c>
      <c r="T23" s="18" t="n">
        <f aca="false">IF(T1&gt;=Assumptions!$B$7,CHOOSE(T2,Assumptions!$C$43,Assumptions!$C$44,Assumptions!$C$45)*Assumptions!$C$42/12,0)</f>
        <v>8000</v>
      </c>
      <c r="U23" s="18" t="n">
        <f aca="false">IF(U1&gt;=Assumptions!$B$7,CHOOSE(U2,Assumptions!$C$43,Assumptions!$C$44,Assumptions!$C$45)*Assumptions!$C$42/12,0)</f>
        <v>8000</v>
      </c>
      <c r="V23" s="18" t="n">
        <f aca="false">IF(V1&gt;=Assumptions!$B$7,CHOOSE(V2,Assumptions!$C$43,Assumptions!$C$44,Assumptions!$C$45)*Assumptions!$C$42/12,0)</f>
        <v>8000</v>
      </c>
      <c r="W23" s="18" t="n">
        <f aca="false">IF(W1&gt;=Assumptions!$B$7,CHOOSE(W2,Assumptions!$C$43,Assumptions!$C$44,Assumptions!$C$45)*Assumptions!$C$42/12,0)</f>
        <v>8000</v>
      </c>
      <c r="X23" s="18" t="n">
        <f aca="false">IF(X1&gt;=Assumptions!$B$7,CHOOSE(X2,Assumptions!$C$43,Assumptions!$C$44,Assumptions!$C$45)*Assumptions!$C$42/12,0)</f>
        <v>8000</v>
      </c>
      <c r="Y23" s="18" t="n">
        <f aca="false">IF(Y1&gt;=Assumptions!$B$7,CHOOSE(Y2,Assumptions!$C$43,Assumptions!$C$44,Assumptions!$C$45)*Assumptions!$C$42/12,0)</f>
        <v>8000</v>
      </c>
      <c r="Z23" s="18" t="n">
        <f aca="false">IF(Z1&gt;=Assumptions!$B$7,CHOOSE(Z2,Assumptions!$C$43,Assumptions!$C$44,Assumptions!$C$45)*Assumptions!$C$42/12,0)</f>
        <v>10000</v>
      </c>
      <c r="AA23" s="18" t="n">
        <f aca="false">IF(AA1&gt;=Assumptions!$B$7,CHOOSE(AA2,Assumptions!$C$43,Assumptions!$C$44,Assumptions!$C$45)*Assumptions!$C$42/12,0)</f>
        <v>10000</v>
      </c>
      <c r="AB23" s="18" t="n">
        <f aca="false">IF(AB1&gt;=Assumptions!$B$7,CHOOSE(AB2,Assumptions!$C$43,Assumptions!$C$44,Assumptions!$C$45)*Assumptions!$C$42/12,0)</f>
        <v>10000</v>
      </c>
      <c r="AC23" s="18" t="n">
        <f aca="false">IF(AC1&gt;=Assumptions!$B$7,CHOOSE(AC2,Assumptions!$C$43,Assumptions!$C$44,Assumptions!$C$45)*Assumptions!$C$42/12,0)</f>
        <v>10000</v>
      </c>
      <c r="AD23" s="18" t="n">
        <f aca="false">IF(AD1&gt;=Assumptions!$B$7,CHOOSE(AD2,Assumptions!$C$43,Assumptions!$C$44,Assumptions!$C$45)*Assumptions!$C$42/12,0)</f>
        <v>10000</v>
      </c>
      <c r="AE23" s="18" t="n">
        <f aca="false">IF(AE1&gt;=Assumptions!$B$7,CHOOSE(AE2,Assumptions!$C$43,Assumptions!$C$44,Assumptions!$C$45)*Assumptions!$C$42/12,0)</f>
        <v>10000</v>
      </c>
      <c r="AF23" s="18" t="n">
        <f aca="false">IF(AF1&gt;=Assumptions!$B$7,CHOOSE(AF2,Assumptions!$C$43,Assumptions!$C$44,Assumptions!$C$45)*Assumptions!$C$42/12,0)</f>
        <v>10000</v>
      </c>
      <c r="AG23" s="18" t="n">
        <f aca="false">IF(AG1&gt;=Assumptions!$B$7,CHOOSE(AG2,Assumptions!$C$43,Assumptions!$C$44,Assumptions!$C$45)*Assumptions!$C$42/12,0)</f>
        <v>10000</v>
      </c>
      <c r="AH23" s="18" t="n">
        <f aca="false">IF(AH1&gt;=Assumptions!$B$7,CHOOSE(AH2,Assumptions!$C$43,Assumptions!$C$44,Assumptions!$C$45)*Assumptions!$C$42/12,0)</f>
        <v>10000</v>
      </c>
      <c r="AI23" s="18" t="n">
        <f aca="false">IF(AI1&gt;=Assumptions!$B$7,CHOOSE(AI2,Assumptions!$C$43,Assumptions!$C$44,Assumptions!$C$45)*Assumptions!$C$42/12,0)</f>
        <v>10000</v>
      </c>
      <c r="AJ23" s="18" t="n">
        <f aca="false">IF(AJ1&gt;=Assumptions!$B$7,CHOOSE(AJ2,Assumptions!$C$43,Assumptions!$C$44,Assumptions!$C$45)*Assumptions!$C$42/12,0)</f>
        <v>10000</v>
      </c>
      <c r="AK23" s="18" t="n">
        <f aca="false">IF(AK1&gt;=Assumptions!$B$7,CHOOSE(AK2,Assumptions!$C$43,Assumptions!$C$44,Assumptions!$C$45)*Assumptions!$C$42/12,0)</f>
        <v>10000</v>
      </c>
    </row>
    <row r="24" customFormat="false" ht="15" hidden="false" customHeight="false" outlineLevel="0" collapsed="false">
      <c r="A24" s="2" t="s">
        <v>151</v>
      </c>
      <c r="B24" s="18" t="n">
        <f aca="false">CHOOSE(B2,Assumptions!$C$46,Assumptions!$C$47,Assumptions!$C$48)*Assumptions!$C$49/12</f>
        <v>1250</v>
      </c>
      <c r="C24" s="18" t="n">
        <f aca="false">CHOOSE(C2,Assumptions!$C$46,Assumptions!$C$47,Assumptions!$C$48)*Assumptions!$C$49/12</f>
        <v>1250</v>
      </c>
      <c r="D24" s="18" t="n">
        <f aca="false">CHOOSE(D2,Assumptions!$C$46,Assumptions!$C$47,Assumptions!$C$48)*Assumptions!$C$49/12</f>
        <v>1250</v>
      </c>
      <c r="E24" s="18" t="n">
        <f aca="false">CHOOSE(E2,Assumptions!$C$46,Assumptions!$C$47,Assumptions!$C$48)*Assumptions!$C$49/12</f>
        <v>1250</v>
      </c>
      <c r="F24" s="18" t="n">
        <f aca="false">CHOOSE(F2,Assumptions!$C$46,Assumptions!$C$47,Assumptions!$C$48)*Assumptions!$C$49/12</f>
        <v>1250</v>
      </c>
      <c r="G24" s="18" t="n">
        <f aca="false">CHOOSE(G2,Assumptions!$C$46,Assumptions!$C$47,Assumptions!$C$48)*Assumptions!$C$49/12</f>
        <v>1250</v>
      </c>
      <c r="H24" s="18" t="n">
        <f aca="false">CHOOSE(H2,Assumptions!$C$46,Assumptions!$C$47,Assumptions!$C$48)*Assumptions!$C$49/12</f>
        <v>1250</v>
      </c>
      <c r="I24" s="18" t="n">
        <f aca="false">CHOOSE(I2,Assumptions!$C$46,Assumptions!$C$47,Assumptions!$C$48)*Assumptions!$C$49/12</f>
        <v>1250</v>
      </c>
      <c r="J24" s="18" t="n">
        <f aca="false">CHOOSE(J2,Assumptions!$C$46,Assumptions!$C$47,Assumptions!$C$48)*Assumptions!$C$49/12</f>
        <v>1250</v>
      </c>
      <c r="K24" s="18" t="n">
        <f aca="false">CHOOSE(K2,Assumptions!$C$46,Assumptions!$C$47,Assumptions!$C$48)*Assumptions!$C$49/12</f>
        <v>1250</v>
      </c>
      <c r="L24" s="18" t="n">
        <f aca="false">CHOOSE(L2,Assumptions!$C$46,Assumptions!$C$47,Assumptions!$C$48)*Assumptions!$C$49/12</f>
        <v>1250</v>
      </c>
      <c r="M24" s="18" t="n">
        <f aca="false">CHOOSE(M2,Assumptions!$C$46,Assumptions!$C$47,Assumptions!$C$48)*Assumptions!$C$49/12</f>
        <v>1250</v>
      </c>
      <c r="N24" s="18" t="n">
        <f aca="false">CHOOSE(N2,Assumptions!$C$46,Assumptions!$C$47,Assumptions!$C$48)*Assumptions!$C$49/12</f>
        <v>3750</v>
      </c>
      <c r="O24" s="18" t="n">
        <f aca="false">CHOOSE(O2,Assumptions!$C$46,Assumptions!$C$47,Assumptions!$C$48)*Assumptions!$C$49/12</f>
        <v>3750</v>
      </c>
      <c r="P24" s="18" t="n">
        <f aca="false">CHOOSE(P2,Assumptions!$C$46,Assumptions!$C$47,Assumptions!$C$48)*Assumptions!$C$49/12</f>
        <v>3750</v>
      </c>
      <c r="Q24" s="18" t="n">
        <f aca="false">CHOOSE(Q2,Assumptions!$C$46,Assumptions!$C$47,Assumptions!$C$48)*Assumptions!$C$49/12</f>
        <v>3750</v>
      </c>
      <c r="R24" s="18" t="n">
        <f aca="false">CHOOSE(R2,Assumptions!$C$46,Assumptions!$C$47,Assumptions!$C$48)*Assumptions!$C$49/12</f>
        <v>3750</v>
      </c>
      <c r="S24" s="18" t="n">
        <f aca="false">CHOOSE(S2,Assumptions!$C$46,Assumptions!$C$47,Assumptions!$C$48)*Assumptions!$C$49/12</f>
        <v>3750</v>
      </c>
      <c r="T24" s="18" t="n">
        <f aca="false">CHOOSE(T2,Assumptions!$C$46,Assumptions!$C$47,Assumptions!$C$48)*Assumptions!$C$49/12</f>
        <v>3750</v>
      </c>
      <c r="U24" s="18" t="n">
        <f aca="false">CHOOSE(U2,Assumptions!$C$46,Assumptions!$C$47,Assumptions!$C$48)*Assumptions!$C$49/12</f>
        <v>3750</v>
      </c>
      <c r="V24" s="18" t="n">
        <f aca="false">CHOOSE(V2,Assumptions!$C$46,Assumptions!$C$47,Assumptions!$C$48)*Assumptions!$C$49/12</f>
        <v>3750</v>
      </c>
      <c r="W24" s="18" t="n">
        <f aca="false">CHOOSE(W2,Assumptions!$C$46,Assumptions!$C$47,Assumptions!$C$48)*Assumptions!$C$49/12</f>
        <v>3750</v>
      </c>
      <c r="X24" s="18" t="n">
        <f aca="false">CHOOSE(X2,Assumptions!$C$46,Assumptions!$C$47,Assumptions!$C$48)*Assumptions!$C$49/12</f>
        <v>3750</v>
      </c>
      <c r="Y24" s="18" t="n">
        <f aca="false">CHOOSE(Y2,Assumptions!$C$46,Assumptions!$C$47,Assumptions!$C$48)*Assumptions!$C$49/12</f>
        <v>3750</v>
      </c>
      <c r="Z24" s="18" t="n">
        <f aca="false">CHOOSE(Z2,Assumptions!$C$46,Assumptions!$C$47,Assumptions!$C$48)*Assumptions!$C$49/12</f>
        <v>7500</v>
      </c>
      <c r="AA24" s="18" t="n">
        <f aca="false">CHOOSE(AA2,Assumptions!$C$46,Assumptions!$C$47,Assumptions!$C$48)*Assumptions!$C$49/12</f>
        <v>7500</v>
      </c>
      <c r="AB24" s="18" t="n">
        <f aca="false">CHOOSE(AB2,Assumptions!$C$46,Assumptions!$C$47,Assumptions!$C$48)*Assumptions!$C$49/12</f>
        <v>7500</v>
      </c>
      <c r="AC24" s="18" t="n">
        <f aca="false">CHOOSE(AC2,Assumptions!$C$46,Assumptions!$C$47,Assumptions!$C$48)*Assumptions!$C$49/12</f>
        <v>7500</v>
      </c>
      <c r="AD24" s="18" t="n">
        <f aca="false">CHOOSE(AD2,Assumptions!$C$46,Assumptions!$C$47,Assumptions!$C$48)*Assumptions!$C$49/12</f>
        <v>7500</v>
      </c>
      <c r="AE24" s="18" t="n">
        <f aca="false">CHOOSE(AE2,Assumptions!$C$46,Assumptions!$C$47,Assumptions!$C$48)*Assumptions!$C$49/12</f>
        <v>7500</v>
      </c>
      <c r="AF24" s="18" t="n">
        <f aca="false">CHOOSE(AF2,Assumptions!$C$46,Assumptions!$C$47,Assumptions!$C$48)*Assumptions!$C$49/12</f>
        <v>7500</v>
      </c>
      <c r="AG24" s="18" t="n">
        <f aca="false">CHOOSE(AG2,Assumptions!$C$46,Assumptions!$C$47,Assumptions!$C$48)*Assumptions!$C$49/12</f>
        <v>7500</v>
      </c>
      <c r="AH24" s="18" t="n">
        <f aca="false">CHOOSE(AH2,Assumptions!$C$46,Assumptions!$C$47,Assumptions!$C$48)*Assumptions!$C$49/12</f>
        <v>7500</v>
      </c>
      <c r="AI24" s="18" t="n">
        <f aca="false">CHOOSE(AI2,Assumptions!$C$46,Assumptions!$C$47,Assumptions!$C$48)*Assumptions!$C$49/12</f>
        <v>7500</v>
      </c>
      <c r="AJ24" s="18" t="n">
        <f aca="false">CHOOSE(AJ2,Assumptions!$C$46,Assumptions!$C$47,Assumptions!$C$48)*Assumptions!$C$49/12</f>
        <v>7500</v>
      </c>
      <c r="AK24" s="18" t="n">
        <f aca="false">CHOOSE(AK2,Assumptions!$C$46,Assumptions!$C$47,Assumptions!$C$48)*Assumptions!$C$49/12</f>
        <v>7500</v>
      </c>
    </row>
    <row r="25" customFormat="false" ht="15" hidden="false" customHeight="false" outlineLevel="0" collapsed="false">
      <c r="A25" s="2" t="s">
        <v>152</v>
      </c>
      <c r="B25" s="18" t="n">
        <f aca="false">CHOOSE(B2,Assumptions!$C$51,Assumptions!$C$52,Assumptions!$C$53)*Assumptions!$C$54</f>
        <v>2500</v>
      </c>
      <c r="C25" s="18" t="n">
        <f aca="false">CHOOSE(C2,Assumptions!$C$51,Assumptions!$C$52,Assumptions!$C$53)*Assumptions!$C$54</f>
        <v>2500</v>
      </c>
      <c r="D25" s="18" t="n">
        <f aca="false">CHOOSE(D2,Assumptions!$C$51,Assumptions!$C$52,Assumptions!$C$53)*Assumptions!$C$54</f>
        <v>2500</v>
      </c>
      <c r="E25" s="18" t="n">
        <f aca="false">CHOOSE(E2,Assumptions!$C$51,Assumptions!$C$52,Assumptions!$C$53)*Assumptions!$C$54</f>
        <v>2500</v>
      </c>
      <c r="F25" s="18" t="n">
        <f aca="false">CHOOSE(F2,Assumptions!$C$51,Assumptions!$C$52,Assumptions!$C$53)*Assumptions!$C$54</f>
        <v>2500</v>
      </c>
      <c r="G25" s="18" t="n">
        <f aca="false">CHOOSE(G2,Assumptions!$C$51,Assumptions!$C$52,Assumptions!$C$53)*Assumptions!$C$54</f>
        <v>2500</v>
      </c>
      <c r="H25" s="18" t="n">
        <f aca="false">CHOOSE(H2,Assumptions!$C$51,Assumptions!$C$52,Assumptions!$C$53)*Assumptions!$C$54</f>
        <v>2500</v>
      </c>
      <c r="I25" s="18" t="n">
        <f aca="false">CHOOSE(I2,Assumptions!$C$51,Assumptions!$C$52,Assumptions!$C$53)*Assumptions!$C$54</f>
        <v>2500</v>
      </c>
      <c r="J25" s="18" t="n">
        <f aca="false">CHOOSE(J2,Assumptions!$C$51,Assumptions!$C$52,Assumptions!$C$53)*Assumptions!$C$54</f>
        <v>2500</v>
      </c>
      <c r="K25" s="18" t="n">
        <f aca="false">CHOOSE(K2,Assumptions!$C$51,Assumptions!$C$52,Assumptions!$C$53)*Assumptions!$C$54</f>
        <v>2500</v>
      </c>
      <c r="L25" s="18" t="n">
        <f aca="false">CHOOSE(L2,Assumptions!$C$51,Assumptions!$C$52,Assumptions!$C$53)*Assumptions!$C$54</f>
        <v>2500</v>
      </c>
      <c r="M25" s="18" t="n">
        <f aca="false">CHOOSE(M2,Assumptions!$C$51,Assumptions!$C$52,Assumptions!$C$53)*Assumptions!$C$54</f>
        <v>2500</v>
      </c>
      <c r="N25" s="18" t="n">
        <f aca="false">CHOOSE(N2,Assumptions!$C$51,Assumptions!$C$52,Assumptions!$C$53)*Assumptions!$C$54</f>
        <v>10000</v>
      </c>
      <c r="O25" s="18" t="n">
        <f aca="false">CHOOSE(O2,Assumptions!$C$51,Assumptions!$C$52,Assumptions!$C$53)*Assumptions!$C$54</f>
        <v>10000</v>
      </c>
      <c r="P25" s="18" t="n">
        <f aca="false">CHOOSE(P2,Assumptions!$C$51,Assumptions!$C$52,Assumptions!$C$53)*Assumptions!$C$54</f>
        <v>10000</v>
      </c>
      <c r="Q25" s="18" t="n">
        <f aca="false">CHOOSE(Q2,Assumptions!$C$51,Assumptions!$C$52,Assumptions!$C$53)*Assumptions!$C$54</f>
        <v>10000</v>
      </c>
      <c r="R25" s="18" t="n">
        <f aca="false">CHOOSE(R2,Assumptions!$C$51,Assumptions!$C$52,Assumptions!$C$53)*Assumptions!$C$54</f>
        <v>10000</v>
      </c>
      <c r="S25" s="18" t="n">
        <f aca="false">CHOOSE(S2,Assumptions!$C$51,Assumptions!$C$52,Assumptions!$C$53)*Assumptions!$C$54</f>
        <v>10000</v>
      </c>
      <c r="T25" s="18" t="n">
        <f aca="false">CHOOSE(T2,Assumptions!$C$51,Assumptions!$C$52,Assumptions!$C$53)*Assumptions!$C$54</f>
        <v>10000</v>
      </c>
      <c r="U25" s="18" t="n">
        <f aca="false">CHOOSE(U2,Assumptions!$C$51,Assumptions!$C$52,Assumptions!$C$53)*Assumptions!$C$54</f>
        <v>10000</v>
      </c>
      <c r="V25" s="18" t="n">
        <f aca="false">CHOOSE(V2,Assumptions!$C$51,Assumptions!$C$52,Assumptions!$C$53)*Assumptions!$C$54</f>
        <v>10000</v>
      </c>
      <c r="W25" s="18" t="n">
        <f aca="false">CHOOSE(W2,Assumptions!$C$51,Assumptions!$C$52,Assumptions!$C$53)*Assumptions!$C$54</f>
        <v>10000</v>
      </c>
      <c r="X25" s="18" t="n">
        <f aca="false">CHOOSE(X2,Assumptions!$C$51,Assumptions!$C$52,Assumptions!$C$53)*Assumptions!$C$54</f>
        <v>10000</v>
      </c>
      <c r="Y25" s="18" t="n">
        <f aca="false">CHOOSE(Y2,Assumptions!$C$51,Assumptions!$C$52,Assumptions!$C$53)*Assumptions!$C$54</f>
        <v>10000</v>
      </c>
      <c r="Z25" s="18" t="n">
        <f aca="false">CHOOSE(Z2,Assumptions!$C$51,Assumptions!$C$52,Assumptions!$C$53)*Assumptions!$C$54</f>
        <v>20000</v>
      </c>
      <c r="AA25" s="18" t="n">
        <f aca="false">CHOOSE(AA2,Assumptions!$C$51,Assumptions!$C$52,Assumptions!$C$53)*Assumptions!$C$54</f>
        <v>20000</v>
      </c>
      <c r="AB25" s="18" t="n">
        <f aca="false">CHOOSE(AB2,Assumptions!$C$51,Assumptions!$C$52,Assumptions!$C$53)*Assumptions!$C$54</f>
        <v>20000</v>
      </c>
      <c r="AC25" s="18" t="n">
        <f aca="false">CHOOSE(AC2,Assumptions!$C$51,Assumptions!$C$52,Assumptions!$C$53)*Assumptions!$C$54</f>
        <v>20000</v>
      </c>
      <c r="AD25" s="18" t="n">
        <f aca="false">CHOOSE(AD2,Assumptions!$C$51,Assumptions!$C$52,Assumptions!$C$53)*Assumptions!$C$54</f>
        <v>20000</v>
      </c>
      <c r="AE25" s="18" t="n">
        <f aca="false">CHOOSE(AE2,Assumptions!$C$51,Assumptions!$C$52,Assumptions!$C$53)*Assumptions!$C$54</f>
        <v>20000</v>
      </c>
      <c r="AF25" s="18" t="n">
        <f aca="false">CHOOSE(AF2,Assumptions!$C$51,Assumptions!$C$52,Assumptions!$C$53)*Assumptions!$C$54</f>
        <v>20000</v>
      </c>
      <c r="AG25" s="18" t="n">
        <f aca="false">CHOOSE(AG2,Assumptions!$C$51,Assumptions!$C$52,Assumptions!$C$53)*Assumptions!$C$54</f>
        <v>20000</v>
      </c>
      <c r="AH25" s="18" t="n">
        <f aca="false">CHOOSE(AH2,Assumptions!$C$51,Assumptions!$C$52,Assumptions!$C$53)*Assumptions!$C$54</f>
        <v>20000</v>
      </c>
      <c r="AI25" s="18" t="n">
        <f aca="false">CHOOSE(AI2,Assumptions!$C$51,Assumptions!$C$52,Assumptions!$C$53)*Assumptions!$C$54</f>
        <v>20000</v>
      </c>
      <c r="AJ25" s="18" t="n">
        <f aca="false">CHOOSE(AJ2,Assumptions!$C$51,Assumptions!$C$52,Assumptions!$C$53)*Assumptions!$C$54</f>
        <v>20000</v>
      </c>
      <c r="AK25" s="18" t="n">
        <f aca="false">CHOOSE(AK2,Assumptions!$C$51,Assumptions!$C$52,Assumptions!$C$53)*Assumptions!$C$54</f>
        <v>20000</v>
      </c>
    </row>
    <row r="26" customFormat="false" ht="15" hidden="false" customHeight="false" outlineLevel="0" collapsed="false">
      <c r="A26" s="3" t="s">
        <v>153</v>
      </c>
      <c r="B26" s="18" t="n">
        <f aca="false">B17+B19+B22+B23+B24+B25</f>
        <v>3750</v>
      </c>
      <c r="C26" s="18" t="n">
        <f aca="false">C17+C19+C22+C23+C24+C25</f>
        <v>3750</v>
      </c>
      <c r="D26" s="18" t="n">
        <f aca="false">D17+D19+D22+D23+D24+D25</f>
        <v>3750</v>
      </c>
      <c r="E26" s="18" t="n">
        <f aca="false">E17+E19+E22+E23+E24+E25</f>
        <v>3750</v>
      </c>
      <c r="F26" s="18" t="n">
        <f aca="false">F17+F19+F22+F23+F24+F25</f>
        <v>3750</v>
      </c>
      <c r="G26" s="18" t="n">
        <f aca="false">G17+G19+G22+G23+G24+G25</f>
        <v>3750</v>
      </c>
      <c r="H26" s="18" t="n">
        <f aca="false">H17+H19+H22+H23+H24+H25</f>
        <v>3750</v>
      </c>
      <c r="I26" s="18" t="n">
        <f aca="false">I17+I19+I22+I23+I24+I25</f>
        <v>3750</v>
      </c>
      <c r="J26" s="18" t="n">
        <f aca="false">J17+J19+J22+J23+J24+J25</f>
        <v>3750</v>
      </c>
      <c r="K26" s="18" t="n">
        <f aca="false">K17+K19+K22+K23+K24+K25</f>
        <v>46267.2392857143</v>
      </c>
      <c r="L26" s="18" t="n">
        <f aca="false">L17+L19+L22+L23+L24+L25</f>
        <v>39399.5964285714</v>
      </c>
      <c r="M26" s="18" t="n">
        <f aca="false">M17+M19+M22+M23+M24+M25</f>
        <v>61460.8689285714</v>
      </c>
      <c r="N26" s="18" t="n">
        <f aca="false">N17+N19+N22+N23+N24+N25</f>
        <v>36858.6671</v>
      </c>
      <c r="O26" s="18" t="n">
        <f aca="false">O17+O19+O22+O23+O24+O25</f>
        <v>36795.678745</v>
      </c>
      <c r="P26" s="18" t="n">
        <f aca="false">P17+P19+P22+P23+P24+P25</f>
        <v>36736.21730775</v>
      </c>
      <c r="Q26" s="18" t="n">
        <f aca="false">Q17+Q19+Q22+Q23+Q24+Q25</f>
        <v>36680.1064423625</v>
      </c>
      <c r="R26" s="18" t="n">
        <f aca="false">R17+R19+R22+R23+R24+R25</f>
        <v>36627.1786202444</v>
      </c>
      <c r="S26" s="18" t="n">
        <f aca="false">S17+S19+S22+S23+S24+S25</f>
        <v>36577.2746892322</v>
      </c>
      <c r="T26" s="18" t="n">
        <f aca="false">T17+T19+T22+T23+T24+T25</f>
        <v>36530.2434547706</v>
      </c>
      <c r="U26" s="18" t="n">
        <f aca="false">U17+U19+U22+U23+U24+U25</f>
        <v>36485.941282032</v>
      </c>
      <c r="V26" s="18" t="n">
        <f aca="false">V17+V19+V22+V23+V24+V25</f>
        <v>36444.2317179304</v>
      </c>
      <c r="W26" s="18" t="n">
        <f aca="false">W17+W19+W22+W23+W24+W25</f>
        <v>33591.4701902591</v>
      </c>
      <c r="X26" s="18" t="n">
        <f aca="false">X17+X19+X22+X23+X24+X25</f>
        <v>33506.3996807461</v>
      </c>
      <c r="Y26" s="18" t="n">
        <f aca="false">Y17+Y19+Y22+Y23+Y24+Y25</f>
        <v>33425.8846967088</v>
      </c>
      <c r="Z26" s="18" t="n">
        <f aca="false">Z17+Z19+Z22+Z23+Z24+Z25</f>
        <v>50842.2874618734</v>
      </c>
      <c r="AA26" s="18" t="n">
        <f aca="false">AA17+AA19+AA22+AA23+AA24+AA25</f>
        <v>50724.5195887797</v>
      </c>
      <c r="AB26" s="18" t="n">
        <f aca="false">AB17+AB19+AB22+AB23+AB24+AB25</f>
        <v>50612.8931093407</v>
      </c>
      <c r="AC26" s="18" t="n">
        <f aca="false">AC17+AC19+AC22+AC23+AC24+AC25</f>
        <v>50507.1009538737</v>
      </c>
      <c r="AD26" s="18" t="n">
        <f aca="false">AD17+AD19+AD22+AD23+AD24+AD25</f>
        <v>50406.85140618</v>
      </c>
      <c r="AE26" s="18" t="n">
        <f aca="false">AE17+AE19+AE22+AE23+AE24+AE25</f>
        <v>50311.867335871</v>
      </c>
      <c r="AF26" s="18" t="n">
        <f aca="false">AF17+AF19+AF22+AF23+AF24+AF25</f>
        <v>50221.8854690774</v>
      </c>
      <c r="AG26" s="18" t="n">
        <f aca="false">AG17+AG19+AG22+AG23+AG24+AG25</f>
        <v>50136.6556956236</v>
      </c>
      <c r="AH26" s="18" t="n">
        <f aca="false">AH17+AH19+AH22+AH23+AH24+AH25</f>
        <v>50055.9404108424</v>
      </c>
      <c r="AI26" s="18" t="n">
        <f aca="false">AI17+AI19+AI22+AI23+AI24+AI25</f>
        <v>49979.5138903003</v>
      </c>
      <c r="AJ26" s="18" t="n">
        <f aca="false">AJ17+AJ19+AJ22+AJ23+AJ24+AJ25</f>
        <v>49907.1616957853</v>
      </c>
      <c r="AK26" s="18" t="n">
        <f aca="false">AK17+AK19+AK22+AK23+AK24+AK25</f>
        <v>49838.680110996</v>
      </c>
    </row>
    <row r="27" customFormat="false" ht="15" hidden="false" customHeight="false" outlineLevel="0" collapsed="false">
      <c r="A27" s="2" t="s">
        <v>154</v>
      </c>
      <c r="B27" s="16" t="n">
        <f aca="false">CHOOSE(B2,Assumptions!$C$58,Assumptions!$C$59,Assumptions!$C$60)/12</f>
        <v>0.833333333333333</v>
      </c>
      <c r="C27" s="16" t="n">
        <f aca="false">CHOOSE(C2,Assumptions!$C$58,Assumptions!$C$59,Assumptions!$C$60)/12</f>
        <v>0.833333333333333</v>
      </c>
      <c r="D27" s="16" t="n">
        <f aca="false">CHOOSE(D2,Assumptions!$C$58,Assumptions!$C$59,Assumptions!$C$60)/12</f>
        <v>0.833333333333333</v>
      </c>
      <c r="E27" s="16" t="n">
        <f aca="false">CHOOSE(E2,Assumptions!$C$58,Assumptions!$C$59,Assumptions!$C$60)/12</f>
        <v>0.833333333333333</v>
      </c>
      <c r="F27" s="16" t="n">
        <f aca="false">CHOOSE(F2,Assumptions!$C$58,Assumptions!$C$59,Assumptions!$C$60)/12</f>
        <v>0.833333333333333</v>
      </c>
      <c r="G27" s="16" t="n">
        <f aca="false">CHOOSE(G2,Assumptions!$C$58,Assumptions!$C$59,Assumptions!$C$60)/12</f>
        <v>0.833333333333333</v>
      </c>
      <c r="H27" s="16" t="n">
        <f aca="false">CHOOSE(H2,Assumptions!$C$58,Assumptions!$C$59,Assumptions!$C$60)/12</f>
        <v>0.833333333333333</v>
      </c>
      <c r="I27" s="16" t="n">
        <f aca="false">CHOOSE(I2,Assumptions!$C$58,Assumptions!$C$59,Assumptions!$C$60)/12</f>
        <v>0.833333333333333</v>
      </c>
      <c r="J27" s="16" t="n">
        <f aca="false">CHOOSE(J2,Assumptions!$C$58,Assumptions!$C$59,Assumptions!$C$60)/12</f>
        <v>0.833333333333333</v>
      </c>
      <c r="K27" s="16" t="n">
        <f aca="false">CHOOSE(K2,Assumptions!$C$58,Assumptions!$C$59,Assumptions!$C$60)/12</f>
        <v>0.833333333333333</v>
      </c>
      <c r="L27" s="16" t="n">
        <f aca="false">CHOOSE(L2,Assumptions!$C$58,Assumptions!$C$59,Assumptions!$C$60)/12</f>
        <v>0.833333333333333</v>
      </c>
      <c r="M27" s="16" t="n">
        <f aca="false">CHOOSE(M2,Assumptions!$C$58,Assumptions!$C$59,Assumptions!$C$60)/12</f>
        <v>0.833333333333333</v>
      </c>
      <c r="N27" s="16" t="n">
        <f aca="false">CHOOSE(N2,Assumptions!$C$58,Assumptions!$C$59,Assumptions!$C$60)/12</f>
        <v>0.666666666666667</v>
      </c>
      <c r="O27" s="16" t="n">
        <f aca="false">CHOOSE(O2,Assumptions!$C$58,Assumptions!$C$59,Assumptions!$C$60)/12</f>
        <v>0.666666666666667</v>
      </c>
      <c r="P27" s="16" t="n">
        <f aca="false">CHOOSE(P2,Assumptions!$C$58,Assumptions!$C$59,Assumptions!$C$60)/12</f>
        <v>0.666666666666667</v>
      </c>
      <c r="Q27" s="16" t="n">
        <f aca="false">CHOOSE(Q2,Assumptions!$C$58,Assumptions!$C$59,Assumptions!$C$60)/12</f>
        <v>0.666666666666667</v>
      </c>
      <c r="R27" s="16" t="n">
        <f aca="false">CHOOSE(R2,Assumptions!$C$58,Assumptions!$C$59,Assumptions!$C$60)/12</f>
        <v>0.666666666666667</v>
      </c>
      <c r="S27" s="16" t="n">
        <f aca="false">CHOOSE(S2,Assumptions!$C$58,Assumptions!$C$59,Assumptions!$C$60)/12</f>
        <v>0.666666666666667</v>
      </c>
      <c r="T27" s="16" t="n">
        <f aca="false">CHOOSE(T2,Assumptions!$C$58,Assumptions!$C$59,Assumptions!$C$60)/12</f>
        <v>0.666666666666667</v>
      </c>
      <c r="U27" s="16" t="n">
        <f aca="false">CHOOSE(U2,Assumptions!$C$58,Assumptions!$C$59,Assumptions!$C$60)/12</f>
        <v>0.666666666666667</v>
      </c>
      <c r="V27" s="16" t="n">
        <f aca="false">CHOOSE(V2,Assumptions!$C$58,Assumptions!$C$59,Assumptions!$C$60)/12</f>
        <v>0.666666666666667</v>
      </c>
      <c r="W27" s="16" t="n">
        <f aca="false">CHOOSE(W2,Assumptions!$C$58,Assumptions!$C$59,Assumptions!$C$60)/12</f>
        <v>0.666666666666667</v>
      </c>
      <c r="X27" s="16" t="n">
        <f aca="false">CHOOSE(X2,Assumptions!$C$58,Assumptions!$C$59,Assumptions!$C$60)/12</f>
        <v>0.666666666666667</v>
      </c>
      <c r="Y27" s="16" t="n">
        <f aca="false">CHOOSE(Y2,Assumptions!$C$58,Assumptions!$C$59,Assumptions!$C$60)/12</f>
        <v>0.666666666666667</v>
      </c>
      <c r="Z27" s="16" t="n">
        <f aca="false">CHOOSE(Z2,Assumptions!$C$58,Assumptions!$C$59,Assumptions!$C$60)/12</f>
        <v>0.666666666666667</v>
      </c>
      <c r="AA27" s="16" t="n">
        <f aca="false">CHOOSE(AA2,Assumptions!$C$58,Assumptions!$C$59,Assumptions!$C$60)/12</f>
        <v>0.666666666666667</v>
      </c>
      <c r="AB27" s="16" t="n">
        <f aca="false">CHOOSE(AB2,Assumptions!$C$58,Assumptions!$C$59,Assumptions!$C$60)/12</f>
        <v>0.666666666666667</v>
      </c>
      <c r="AC27" s="16" t="n">
        <f aca="false">CHOOSE(AC2,Assumptions!$C$58,Assumptions!$C$59,Assumptions!$C$60)/12</f>
        <v>0.666666666666667</v>
      </c>
      <c r="AD27" s="16" t="n">
        <f aca="false">CHOOSE(AD2,Assumptions!$C$58,Assumptions!$C$59,Assumptions!$C$60)/12</f>
        <v>0.666666666666667</v>
      </c>
      <c r="AE27" s="16" t="n">
        <f aca="false">CHOOSE(AE2,Assumptions!$C$58,Assumptions!$C$59,Assumptions!$C$60)/12</f>
        <v>0.666666666666667</v>
      </c>
      <c r="AF27" s="16" t="n">
        <f aca="false">CHOOSE(AF2,Assumptions!$C$58,Assumptions!$C$59,Assumptions!$C$60)/12</f>
        <v>0.666666666666667</v>
      </c>
      <c r="AG27" s="16" t="n">
        <f aca="false">CHOOSE(AG2,Assumptions!$C$58,Assumptions!$C$59,Assumptions!$C$60)/12</f>
        <v>0.666666666666667</v>
      </c>
      <c r="AH27" s="16" t="n">
        <f aca="false">CHOOSE(AH2,Assumptions!$C$58,Assumptions!$C$59,Assumptions!$C$60)/12</f>
        <v>0.666666666666667</v>
      </c>
      <c r="AI27" s="16" t="n">
        <f aca="false">CHOOSE(AI2,Assumptions!$C$58,Assumptions!$C$59,Assumptions!$C$60)/12</f>
        <v>0.666666666666667</v>
      </c>
      <c r="AJ27" s="16" t="n">
        <f aca="false">CHOOSE(AJ2,Assumptions!$C$58,Assumptions!$C$59,Assumptions!$C$60)/12</f>
        <v>0.666666666666667</v>
      </c>
      <c r="AK27" s="16" t="n">
        <f aca="false">CHOOSE(AK2,Assumptions!$C$58,Assumptions!$C$59,Assumptions!$C$60)/12</f>
        <v>0.666666666666667</v>
      </c>
    </row>
    <row r="28" customFormat="false" ht="15" hidden="false" customHeight="false" outlineLevel="0" collapsed="false">
      <c r="A28" s="2" t="s">
        <v>155</v>
      </c>
      <c r="B28" s="16" t="n">
        <f aca="false">Assumptions!$B$5+B27</f>
        <v>10.8333333333333</v>
      </c>
      <c r="C28" s="16" t="n">
        <f aca="false">B28+C27</f>
        <v>11.6666666666667</v>
      </c>
      <c r="D28" s="16" t="n">
        <f aca="false">C28+D27</f>
        <v>12.5</v>
      </c>
      <c r="E28" s="16" t="n">
        <f aca="false">D28+E27</f>
        <v>13.3333333333333</v>
      </c>
      <c r="F28" s="16" t="n">
        <f aca="false">E28+F27</f>
        <v>14.1666666666667</v>
      </c>
      <c r="G28" s="16" t="n">
        <f aca="false">F28+G27</f>
        <v>15</v>
      </c>
      <c r="H28" s="16" t="n">
        <f aca="false">G28+H27</f>
        <v>15.8333333333333</v>
      </c>
      <c r="I28" s="16" t="n">
        <f aca="false">H28+I27</f>
        <v>16.6666666666667</v>
      </c>
      <c r="J28" s="16" t="n">
        <f aca="false">I28+J27</f>
        <v>17.5</v>
      </c>
      <c r="K28" s="16" t="n">
        <f aca="false">J28+K27</f>
        <v>18.3333333333333</v>
      </c>
      <c r="L28" s="16" t="n">
        <f aca="false">K28+L27</f>
        <v>19.1666666666667</v>
      </c>
      <c r="M28" s="16" t="n">
        <f aca="false">L28+M27</f>
        <v>20</v>
      </c>
      <c r="N28" s="16" t="n">
        <f aca="false">M28+N27</f>
        <v>20.6666666666667</v>
      </c>
      <c r="O28" s="16" t="n">
        <f aca="false">N28+O27</f>
        <v>21.3333333333333</v>
      </c>
      <c r="P28" s="16" t="n">
        <f aca="false">O28+P27</f>
        <v>22</v>
      </c>
      <c r="Q28" s="16" t="n">
        <f aca="false">P28+Q27</f>
        <v>22.6666666666667</v>
      </c>
      <c r="R28" s="16" t="n">
        <f aca="false">Q28+R27</f>
        <v>23.3333333333333</v>
      </c>
      <c r="S28" s="16" t="n">
        <f aca="false">R28+S27</f>
        <v>24</v>
      </c>
      <c r="T28" s="16" t="n">
        <f aca="false">S28+T27</f>
        <v>24.6666666666667</v>
      </c>
      <c r="U28" s="16" t="n">
        <f aca="false">T28+U27</f>
        <v>25.3333333333333</v>
      </c>
      <c r="V28" s="16" t="n">
        <f aca="false">U28+V27</f>
        <v>26</v>
      </c>
      <c r="W28" s="16" t="n">
        <f aca="false">V28+W27</f>
        <v>26.6666666666667</v>
      </c>
      <c r="X28" s="16" t="n">
        <f aca="false">W28+X27</f>
        <v>27.3333333333333</v>
      </c>
      <c r="Y28" s="16" t="n">
        <f aca="false">X28+Y27</f>
        <v>28</v>
      </c>
      <c r="Z28" s="16" t="n">
        <f aca="false">Y28+Z27</f>
        <v>28.6666666666667</v>
      </c>
      <c r="AA28" s="16" t="n">
        <f aca="false">Z28+AA27</f>
        <v>29.3333333333334</v>
      </c>
      <c r="AB28" s="16" t="n">
        <f aca="false">AA28+AB27</f>
        <v>30</v>
      </c>
      <c r="AC28" s="16" t="n">
        <f aca="false">AB28+AC27</f>
        <v>30.6666666666667</v>
      </c>
      <c r="AD28" s="16" t="n">
        <f aca="false">AC28+AD27</f>
        <v>31.3333333333334</v>
      </c>
      <c r="AE28" s="16" t="n">
        <f aca="false">AD28+AE27</f>
        <v>32</v>
      </c>
      <c r="AF28" s="16" t="n">
        <f aca="false">AE28+AF27</f>
        <v>32.6666666666667</v>
      </c>
      <c r="AG28" s="16" t="n">
        <f aca="false">AF28+AG27</f>
        <v>33.3333333333334</v>
      </c>
      <c r="AH28" s="16" t="n">
        <f aca="false">AG28+AH27</f>
        <v>34</v>
      </c>
      <c r="AI28" s="16" t="n">
        <f aca="false">AH28+AI27</f>
        <v>34.6666666666667</v>
      </c>
      <c r="AJ28" s="16" t="n">
        <f aca="false">AI28+AJ27</f>
        <v>35.3333333333333</v>
      </c>
      <c r="AK28" s="16" t="n">
        <f aca="false">AJ28+AK27</f>
        <v>36</v>
      </c>
    </row>
    <row r="29" customFormat="false" ht="15" hidden="false" customHeight="false" outlineLevel="0" collapsed="false">
      <c r="A29" s="2" t="s">
        <v>156</v>
      </c>
      <c r="B29" s="18" t="n">
        <f aca="false">IF(B1=0,Assumptions!$B$12+Assumptions!$B$16+(Assumptions!$B$5-1)*(Assumptions!$B$13+Assumptions!$B$16),0)+B27*(Assumptions!$B$13*Assumptions!$B$11+Assumptions!$B$16)</f>
        <v>149916.666666667</v>
      </c>
      <c r="C29" s="18" t="n">
        <f aca="false">IF(C1=0,Assumptions!$B$12+Assumptions!$B$16+(Assumptions!$B$5-1)*(Assumptions!$B$13+Assumptions!$B$16),0)+C27*(Assumptions!$B$13*Assumptions!$B$11+Assumptions!$B$16)</f>
        <v>10916.6666666667</v>
      </c>
      <c r="D29" s="18" t="n">
        <f aca="false">IF(D1=0,Assumptions!$B$12+Assumptions!$B$16+(Assumptions!$B$5-1)*(Assumptions!$B$13+Assumptions!$B$16),0)+D27*(Assumptions!$B$13*Assumptions!$B$11+Assumptions!$B$16)</f>
        <v>10916.6666666667</v>
      </c>
      <c r="E29" s="18" t="n">
        <f aca="false">IF(E1=0,Assumptions!$B$12+Assumptions!$B$16+(Assumptions!$B$5-1)*(Assumptions!$B$13+Assumptions!$B$16),0)+E27*(Assumptions!$B$13*Assumptions!$B$11+Assumptions!$B$16)</f>
        <v>10916.6666666667</v>
      </c>
      <c r="F29" s="18" t="n">
        <f aca="false">IF(F1=0,Assumptions!$B$12+Assumptions!$B$16+(Assumptions!$B$5-1)*(Assumptions!$B$13+Assumptions!$B$16),0)+F27*(Assumptions!$B$13*Assumptions!$B$11+Assumptions!$B$16)</f>
        <v>10916.6666666667</v>
      </c>
      <c r="G29" s="18" t="n">
        <f aca="false">IF(G1=0,Assumptions!$B$12+Assumptions!$B$16+(Assumptions!$B$5-1)*(Assumptions!$B$13+Assumptions!$B$16),0)+G27*(Assumptions!$B$13*Assumptions!$B$11+Assumptions!$B$16)</f>
        <v>10916.6666666667</v>
      </c>
      <c r="H29" s="18" t="n">
        <f aca="false">IF(H1=0,Assumptions!$B$12+Assumptions!$B$16+(Assumptions!$B$5-1)*(Assumptions!$B$13+Assumptions!$B$16),0)+H27*(Assumptions!$B$13*Assumptions!$B$11+Assumptions!$B$16)</f>
        <v>10916.6666666667</v>
      </c>
      <c r="I29" s="18" t="n">
        <f aca="false">IF(I1=0,Assumptions!$B$12+Assumptions!$B$16+(Assumptions!$B$5-1)*(Assumptions!$B$13+Assumptions!$B$16),0)+I27*(Assumptions!$B$13*Assumptions!$B$11+Assumptions!$B$16)</f>
        <v>10916.6666666667</v>
      </c>
      <c r="J29" s="18" t="n">
        <f aca="false">IF(J1=0,Assumptions!$B$12+Assumptions!$B$16+(Assumptions!$B$5-1)*(Assumptions!$B$13+Assumptions!$B$16),0)+J27*(Assumptions!$B$13*Assumptions!$B$11+Assumptions!$B$16)</f>
        <v>10916.6666666667</v>
      </c>
      <c r="K29" s="18" t="n">
        <f aca="false">IF(K1=0,Assumptions!$B$12+Assumptions!$B$16+(Assumptions!$B$5-1)*(Assumptions!$B$13+Assumptions!$B$16),0)+K27*(Assumptions!$B$13*Assumptions!$B$11+Assumptions!$B$16)</f>
        <v>10916.6666666667</v>
      </c>
      <c r="L29" s="18" t="n">
        <f aca="false">IF(L1=0,Assumptions!$B$12+Assumptions!$B$16+(Assumptions!$B$5-1)*(Assumptions!$B$13+Assumptions!$B$16),0)+L27*(Assumptions!$B$13*Assumptions!$B$11+Assumptions!$B$16)</f>
        <v>10916.6666666667</v>
      </c>
      <c r="M29" s="18" t="n">
        <f aca="false">IF(M1=0,Assumptions!$B$12+Assumptions!$B$16+(Assumptions!$B$5-1)*(Assumptions!$B$13+Assumptions!$B$16),0)+M27*(Assumptions!$B$13*Assumptions!$B$11+Assumptions!$B$16)</f>
        <v>10916.6666666667</v>
      </c>
      <c r="N29" s="18" t="n">
        <f aca="false">IF(N1=0,Assumptions!$B$12+Assumptions!$B$16+(Assumptions!$B$5-1)*(Assumptions!$B$13+Assumptions!$B$16),0)+N27*(Assumptions!$B$13*Assumptions!$B$11+Assumptions!$B$16)</f>
        <v>8733.33333333333</v>
      </c>
      <c r="O29" s="18" t="n">
        <f aca="false">IF(O1=0,Assumptions!$B$12+Assumptions!$B$16+(Assumptions!$B$5-1)*(Assumptions!$B$13+Assumptions!$B$16),0)+O27*(Assumptions!$B$13*Assumptions!$B$11+Assumptions!$B$16)</f>
        <v>8733.33333333333</v>
      </c>
      <c r="P29" s="18" t="n">
        <f aca="false">IF(P1=0,Assumptions!$B$12+Assumptions!$B$16+(Assumptions!$B$5-1)*(Assumptions!$B$13+Assumptions!$B$16),0)+P27*(Assumptions!$B$13*Assumptions!$B$11+Assumptions!$B$16)</f>
        <v>8733.33333333333</v>
      </c>
      <c r="Q29" s="18" t="n">
        <f aca="false">IF(Q1=0,Assumptions!$B$12+Assumptions!$B$16+(Assumptions!$B$5-1)*(Assumptions!$B$13+Assumptions!$B$16),0)+Q27*(Assumptions!$B$13*Assumptions!$B$11+Assumptions!$B$16)</f>
        <v>8733.33333333333</v>
      </c>
      <c r="R29" s="18" t="n">
        <f aca="false">IF(R1=0,Assumptions!$B$12+Assumptions!$B$16+(Assumptions!$B$5-1)*(Assumptions!$B$13+Assumptions!$B$16),0)+R27*(Assumptions!$B$13*Assumptions!$B$11+Assumptions!$B$16)</f>
        <v>8733.33333333333</v>
      </c>
      <c r="S29" s="18" t="n">
        <f aca="false">IF(S1=0,Assumptions!$B$12+Assumptions!$B$16+(Assumptions!$B$5-1)*(Assumptions!$B$13+Assumptions!$B$16),0)+S27*(Assumptions!$B$13*Assumptions!$B$11+Assumptions!$B$16)</f>
        <v>8733.33333333333</v>
      </c>
      <c r="T29" s="18" t="n">
        <f aca="false">IF(T1=0,Assumptions!$B$12+Assumptions!$B$16+(Assumptions!$B$5-1)*(Assumptions!$B$13+Assumptions!$B$16),0)+T27*(Assumptions!$B$13*Assumptions!$B$11+Assumptions!$B$16)</f>
        <v>8733.33333333333</v>
      </c>
      <c r="U29" s="18" t="n">
        <f aca="false">IF(U1=0,Assumptions!$B$12+Assumptions!$B$16+(Assumptions!$B$5-1)*(Assumptions!$B$13+Assumptions!$B$16),0)+U27*(Assumptions!$B$13*Assumptions!$B$11+Assumptions!$B$16)</f>
        <v>8733.33333333333</v>
      </c>
      <c r="V29" s="18" t="n">
        <f aca="false">IF(V1=0,Assumptions!$B$12+Assumptions!$B$16+(Assumptions!$B$5-1)*(Assumptions!$B$13+Assumptions!$B$16),0)+V27*(Assumptions!$B$13*Assumptions!$B$11+Assumptions!$B$16)</f>
        <v>8733.33333333333</v>
      </c>
      <c r="W29" s="18" t="n">
        <f aca="false">IF(W1=0,Assumptions!$B$12+Assumptions!$B$16+(Assumptions!$B$5-1)*(Assumptions!$B$13+Assumptions!$B$16),0)+W27*(Assumptions!$B$13*Assumptions!$B$11+Assumptions!$B$16)</f>
        <v>8733.33333333333</v>
      </c>
      <c r="X29" s="18" t="n">
        <f aca="false">IF(X1=0,Assumptions!$B$12+Assumptions!$B$16+(Assumptions!$B$5-1)*(Assumptions!$B$13+Assumptions!$B$16),0)+X27*(Assumptions!$B$13*Assumptions!$B$11+Assumptions!$B$16)</f>
        <v>8733.33333333333</v>
      </c>
      <c r="Y29" s="18" t="n">
        <f aca="false">IF(Y1=0,Assumptions!$B$12+Assumptions!$B$16+(Assumptions!$B$5-1)*(Assumptions!$B$13+Assumptions!$B$16),0)+Y27*(Assumptions!$B$13*Assumptions!$B$11+Assumptions!$B$16)</f>
        <v>8733.33333333333</v>
      </c>
      <c r="Z29" s="18" t="n">
        <f aca="false">IF(Z1=0,Assumptions!$B$12+Assumptions!$B$16+(Assumptions!$B$5-1)*(Assumptions!$B$13+Assumptions!$B$16),0)+Z27*(Assumptions!$B$13*Assumptions!$B$11+Assumptions!$B$16)</f>
        <v>8733.33333333333</v>
      </c>
      <c r="AA29" s="18" t="n">
        <f aca="false">IF(AA1=0,Assumptions!$B$12+Assumptions!$B$16+(Assumptions!$B$5-1)*(Assumptions!$B$13+Assumptions!$B$16),0)+AA27*(Assumptions!$B$13*Assumptions!$B$11+Assumptions!$B$16)</f>
        <v>8733.33333333333</v>
      </c>
      <c r="AB29" s="18" t="n">
        <f aca="false">IF(AB1=0,Assumptions!$B$12+Assumptions!$B$16+(Assumptions!$B$5-1)*(Assumptions!$B$13+Assumptions!$B$16),0)+AB27*(Assumptions!$B$13*Assumptions!$B$11+Assumptions!$B$16)</f>
        <v>8733.33333333333</v>
      </c>
      <c r="AC29" s="18" t="n">
        <f aca="false">IF(AC1=0,Assumptions!$B$12+Assumptions!$B$16+(Assumptions!$B$5-1)*(Assumptions!$B$13+Assumptions!$B$16),0)+AC27*(Assumptions!$B$13*Assumptions!$B$11+Assumptions!$B$16)</f>
        <v>8733.33333333333</v>
      </c>
      <c r="AD29" s="18" t="n">
        <f aca="false">IF(AD1=0,Assumptions!$B$12+Assumptions!$B$16+(Assumptions!$B$5-1)*(Assumptions!$B$13+Assumptions!$B$16),0)+AD27*(Assumptions!$B$13*Assumptions!$B$11+Assumptions!$B$16)</f>
        <v>8733.33333333333</v>
      </c>
      <c r="AE29" s="18" t="n">
        <f aca="false">IF(AE1=0,Assumptions!$B$12+Assumptions!$B$16+(Assumptions!$B$5-1)*(Assumptions!$B$13+Assumptions!$B$16),0)+AE27*(Assumptions!$B$13*Assumptions!$B$11+Assumptions!$B$16)</f>
        <v>8733.33333333333</v>
      </c>
      <c r="AF29" s="18" t="n">
        <f aca="false">IF(AF1=0,Assumptions!$B$12+Assumptions!$B$16+(Assumptions!$B$5-1)*(Assumptions!$B$13+Assumptions!$B$16),0)+AF27*(Assumptions!$B$13*Assumptions!$B$11+Assumptions!$B$16)</f>
        <v>8733.33333333333</v>
      </c>
      <c r="AG29" s="18" t="n">
        <f aca="false">IF(AG1=0,Assumptions!$B$12+Assumptions!$B$16+(Assumptions!$B$5-1)*(Assumptions!$B$13+Assumptions!$B$16),0)+AG27*(Assumptions!$B$13*Assumptions!$B$11+Assumptions!$B$16)</f>
        <v>8733.33333333333</v>
      </c>
      <c r="AH29" s="18" t="n">
        <f aca="false">IF(AH1=0,Assumptions!$B$12+Assumptions!$B$16+(Assumptions!$B$5-1)*(Assumptions!$B$13+Assumptions!$B$16),0)+AH27*(Assumptions!$B$13*Assumptions!$B$11+Assumptions!$B$16)</f>
        <v>8733.33333333333</v>
      </c>
      <c r="AI29" s="18" t="n">
        <f aca="false">IF(AI1=0,Assumptions!$B$12+Assumptions!$B$16+(Assumptions!$B$5-1)*(Assumptions!$B$13+Assumptions!$B$16),0)+AI27*(Assumptions!$B$13*Assumptions!$B$11+Assumptions!$B$16)</f>
        <v>8733.33333333333</v>
      </c>
      <c r="AJ29" s="18" t="n">
        <f aca="false">IF(AJ1=0,Assumptions!$B$12+Assumptions!$B$16+(Assumptions!$B$5-1)*(Assumptions!$B$13+Assumptions!$B$16),0)+AJ27*(Assumptions!$B$13*Assumptions!$B$11+Assumptions!$B$16)</f>
        <v>8733.33333333333</v>
      </c>
      <c r="AK29" s="18" t="n">
        <f aca="false">IF(AK1=0,Assumptions!$B$12+Assumptions!$B$16+(Assumptions!$B$5-1)*(Assumptions!$B$13+Assumptions!$B$16),0)+AK27*(Assumptions!$B$13*Assumptions!$B$11+Assumptions!$B$16)</f>
        <v>8733.33333333333</v>
      </c>
    </row>
    <row r="30" customFormat="false" ht="15" hidden="false" customHeight="false" outlineLevel="0" collapsed="false">
      <c r="A30" s="2" t="s">
        <v>157</v>
      </c>
      <c r="B30" s="18" t="n">
        <f aca="false">B28*CHOOSE(B2,Assumptions!$C$61,Assumptions!$C$62,Assumptions!$C$63)*(Assumptions!$B$10*Assumptions!$B$14+(1-Assumptions!$B$10)*Assumptions!$B$15)/12</f>
        <v>2080.90277777778</v>
      </c>
      <c r="C30" s="18" t="n">
        <f aca="false">C28*CHOOSE(C2,Assumptions!$C$61,Assumptions!$C$62,Assumptions!$C$63)*(Assumptions!$B$10*Assumptions!$B$14+(1-Assumptions!$B$10)*Assumptions!$B$15)/12</f>
        <v>2240.97222222222</v>
      </c>
      <c r="D30" s="18" t="n">
        <f aca="false">D28*CHOOSE(D2,Assumptions!$C$61,Assumptions!$C$62,Assumptions!$C$63)*(Assumptions!$B$10*Assumptions!$B$14+(1-Assumptions!$B$10)*Assumptions!$B$15)/12</f>
        <v>2401.04166666667</v>
      </c>
      <c r="E30" s="18" t="n">
        <f aca="false">E28*CHOOSE(E2,Assumptions!$C$61,Assumptions!$C$62,Assumptions!$C$63)*(Assumptions!$B$10*Assumptions!$B$14+(1-Assumptions!$B$10)*Assumptions!$B$15)/12</f>
        <v>2561.11111111111</v>
      </c>
      <c r="F30" s="18" t="n">
        <f aca="false">F28*CHOOSE(F2,Assumptions!$C$61,Assumptions!$C$62,Assumptions!$C$63)*(Assumptions!$B$10*Assumptions!$B$14+(1-Assumptions!$B$10)*Assumptions!$B$15)/12</f>
        <v>2721.18055555556</v>
      </c>
      <c r="G30" s="18" t="n">
        <f aca="false">G28*CHOOSE(G2,Assumptions!$C$61,Assumptions!$C$62,Assumptions!$C$63)*(Assumptions!$B$10*Assumptions!$B$14+(1-Assumptions!$B$10)*Assumptions!$B$15)/12</f>
        <v>2881.25</v>
      </c>
      <c r="H30" s="18" t="n">
        <f aca="false">H28*CHOOSE(H2,Assumptions!$C$61,Assumptions!$C$62,Assumptions!$C$63)*(Assumptions!$B$10*Assumptions!$B$14+(1-Assumptions!$B$10)*Assumptions!$B$15)/12</f>
        <v>3041.31944444445</v>
      </c>
      <c r="I30" s="18" t="n">
        <f aca="false">I28*CHOOSE(I2,Assumptions!$C$61,Assumptions!$C$62,Assumptions!$C$63)*(Assumptions!$B$10*Assumptions!$B$14+(1-Assumptions!$B$10)*Assumptions!$B$15)/12</f>
        <v>3201.38888888889</v>
      </c>
      <c r="J30" s="18" t="n">
        <f aca="false">J28*CHOOSE(J2,Assumptions!$C$61,Assumptions!$C$62,Assumptions!$C$63)*(Assumptions!$B$10*Assumptions!$B$14+(1-Assumptions!$B$10)*Assumptions!$B$15)/12</f>
        <v>3361.45833333333</v>
      </c>
      <c r="K30" s="18" t="n">
        <f aca="false">K28*CHOOSE(K2,Assumptions!$C$61,Assumptions!$C$62,Assumptions!$C$63)*(Assumptions!$B$10*Assumptions!$B$14+(1-Assumptions!$B$10)*Assumptions!$B$15)/12</f>
        <v>3521.52777777778</v>
      </c>
      <c r="L30" s="18" t="n">
        <f aca="false">L28*CHOOSE(L2,Assumptions!$C$61,Assumptions!$C$62,Assumptions!$C$63)*(Assumptions!$B$10*Assumptions!$B$14+(1-Assumptions!$B$10)*Assumptions!$B$15)/12</f>
        <v>3681.59722222222</v>
      </c>
      <c r="M30" s="18" t="n">
        <f aca="false">M28*CHOOSE(M2,Assumptions!$C$61,Assumptions!$C$62,Assumptions!$C$63)*(Assumptions!$B$10*Assumptions!$B$14+(1-Assumptions!$B$10)*Assumptions!$B$15)/12</f>
        <v>3841.66666666667</v>
      </c>
      <c r="N30" s="18" t="n">
        <f aca="false">N28*CHOOSE(N2,Assumptions!$C$61,Assumptions!$C$62,Assumptions!$C$63)*(Assumptions!$B$10*Assumptions!$B$14+(1-Assumptions!$B$10)*Assumptions!$B$15)/12</f>
        <v>3969.72222222222</v>
      </c>
      <c r="O30" s="18" t="n">
        <f aca="false">O28*CHOOSE(O2,Assumptions!$C$61,Assumptions!$C$62,Assumptions!$C$63)*(Assumptions!$B$10*Assumptions!$B$14+(1-Assumptions!$B$10)*Assumptions!$B$15)/12</f>
        <v>4097.77777777778</v>
      </c>
      <c r="P30" s="18" t="n">
        <f aca="false">P28*CHOOSE(P2,Assumptions!$C$61,Assumptions!$C$62,Assumptions!$C$63)*(Assumptions!$B$10*Assumptions!$B$14+(1-Assumptions!$B$10)*Assumptions!$B$15)/12</f>
        <v>4225.83333333333</v>
      </c>
      <c r="Q30" s="18" t="n">
        <f aca="false">Q28*CHOOSE(Q2,Assumptions!$C$61,Assumptions!$C$62,Assumptions!$C$63)*(Assumptions!$B$10*Assumptions!$B$14+(1-Assumptions!$B$10)*Assumptions!$B$15)/12</f>
        <v>4353.88888888889</v>
      </c>
      <c r="R30" s="18" t="n">
        <f aca="false">R28*CHOOSE(R2,Assumptions!$C$61,Assumptions!$C$62,Assumptions!$C$63)*(Assumptions!$B$10*Assumptions!$B$14+(1-Assumptions!$B$10)*Assumptions!$B$15)/12</f>
        <v>4481.94444444445</v>
      </c>
      <c r="S30" s="18" t="n">
        <f aca="false">S28*CHOOSE(S2,Assumptions!$C$61,Assumptions!$C$62,Assumptions!$C$63)*(Assumptions!$B$10*Assumptions!$B$14+(1-Assumptions!$B$10)*Assumptions!$B$15)/12</f>
        <v>4610</v>
      </c>
      <c r="T30" s="18" t="n">
        <f aca="false">T28*CHOOSE(T2,Assumptions!$C$61,Assumptions!$C$62,Assumptions!$C$63)*(Assumptions!$B$10*Assumptions!$B$14+(1-Assumptions!$B$10)*Assumptions!$B$15)/12</f>
        <v>4738.05555555556</v>
      </c>
      <c r="U30" s="18" t="n">
        <f aca="false">U28*CHOOSE(U2,Assumptions!$C$61,Assumptions!$C$62,Assumptions!$C$63)*(Assumptions!$B$10*Assumptions!$B$14+(1-Assumptions!$B$10)*Assumptions!$B$15)/12</f>
        <v>4866.11111111111</v>
      </c>
      <c r="V30" s="18" t="n">
        <f aca="false">V28*CHOOSE(V2,Assumptions!$C$61,Assumptions!$C$62,Assumptions!$C$63)*(Assumptions!$B$10*Assumptions!$B$14+(1-Assumptions!$B$10)*Assumptions!$B$15)/12</f>
        <v>4994.16666666667</v>
      </c>
      <c r="W30" s="18" t="n">
        <f aca="false">W28*CHOOSE(W2,Assumptions!$C$61,Assumptions!$C$62,Assumptions!$C$63)*(Assumptions!$B$10*Assumptions!$B$14+(1-Assumptions!$B$10)*Assumptions!$B$15)/12</f>
        <v>5122.22222222222</v>
      </c>
      <c r="X30" s="18" t="n">
        <f aca="false">X28*CHOOSE(X2,Assumptions!$C$61,Assumptions!$C$62,Assumptions!$C$63)*(Assumptions!$B$10*Assumptions!$B$14+(1-Assumptions!$B$10)*Assumptions!$B$15)/12</f>
        <v>5250.27777777778</v>
      </c>
      <c r="Y30" s="18" t="n">
        <f aca="false">Y28*CHOOSE(Y2,Assumptions!$C$61,Assumptions!$C$62,Assumptions!$C$63)*(Assumptions!$B$10*Assumptions!$B$14+(1-Assumptions!$B$10)*Assumptions!$B$15)/12</f>
        <v>5378.33333333334</v>
      </c>
      <c r="Z30" s="18" t="n">
        <f aca="false">Z28*CHOOSE(Z2,Assumptions!$C$61,Assumptions!$C$62,Assumptions!$C$63)*(Assumptions!$B$10*Assumptions!$B$14+(1-Assumptions!$B$10)*Assumptions!$B$15)/12</f>
        <v>5506.38888888889</v>
      </c>
      <c r="AA30" s="18" t="n">
        <f aca="false">AA28*CHOOSE(AA2,Assumptions!$C$61,Assumptions!$C$62,Assumptions!$C$63)*(Assumptions!$B$10*Assumptions!$B$14+(1-Assumptions!$B$10)*Assumptions!$B$15)/12</f>
        <v>5634.44444444445</v>
      </c>
      <c r="AB30" s="18" t="n">
        <f aca="false">AB28*CHOOSE(AB2,Assumptions!$C$61,Assumptions!$C$62,Assumptions!$C$63)*(Assumptions!$B$10*Assumptions!$B$14+(1-Assumptions!$B$10)*Assumptions!$B$15)/12</f>
        <v>5762.5</v>
      </c>
      <c r="AC30" s="18" t="n">
        <f aca="false">AC28*CHOOSE(AC2,Assumptions!$C$61,Assumptions!$C$62,Assumptions!$C$63)*(Assumptions!$B$10*Assumptions!$B$14+(1-Assumptions!$B$10)*Assumptions!$B$15)/12</f>
        <v>5890.55555555556</v>
      </c>
      <c r="AD30" s="18" t="n">
        <f aca="false">AD28*CHOOSE(AD2,Assumptions!$C$61,Assumptions!$C$62,Assumptions!$C$63)*(Assumptions!$B$10*Assumptions!$B$14+(1-Assumptions!$B$10)*Assumptions!$B$15)/12</f>
        <v>6018.61111111112</v>
      </c>
      <c r="AE30" s="18" t="n">
        <f aca="false">AE28*CHOOSE(AE2,Assumptions!$C$61,Assumptions!$C$62,Assumptions!$C$63)*(Assumptions!$B$10*Assumptions!$B$14+(1-Assumptions!$B$10)*Assumptions!$B$15)/12</f>
        <v>6146.66666666667</v>
      </c>
      <c r="AF30" s="18" t="n">
        <f aca="false">AF28*CHOOSE(AF2,Assumptions!$C$61,Assumptions!$C$62,Assumptions!$C$63)*(Assumptions!$B$10*Assumptions!$B$14+(1-Assumptions!$B$10)*Assumptions!$B$15)/12</f>
        <v>6274.72222222223</v>
      </c>
      <c r="AG30" s="18" t="n">
        <f aca="false">AG28*CHOOSE(AG2,Assumptions!$C$61,Assumptions!$C$62,Assumptions!$C$63)*(Assumptions!$B$10*Assumptions!$B$14+(1-Assumptions!$B$10)*Assumptions!$B$15)/12</f>
        <v>6402.77777777778</v>
      </c>
      <c r="AH30" s="18" t="n">
        <f aca="false">AH28*CHOOSE(AH2,Assumptions!$C$61,Assumptions!$C$62,Assumptions!$C$63)*(Assumptions!$B$10*Assumptions!$B$14+(1-Assumptions!$B$10)*Assumptions!$B$15)/12</f>
        <v>6530.83333333334</v>
      </c>
      <c r="AI30" s="18" t="n">
        <f aca="false">AI28*CHOOSE(AI2,Assumptions!$C$61,Assumptions!$C$62,Assumptions!$C$63)*(Assumptions!$B$10*Assumptions!$B$14+(1-Assumptions!$B$10)*Assumptions!$B$15)/12</f>
        <v>6658.88888888889</v>
      </c>
      <c r="AJ30" s="18" t="n">
        <f aca="false">AJ28*CHOOSE(AJ2,Assumptions!$C$61,Assumptions!$C$62,Assumptions!$C$63)*(Assumptions!$B$10*Assumptions!$B$14+(1-Assumptions!$B$10)*Assumptions!$B$15)/12</f>
        <v>6786.94444444445</v>
      </c>
      <c r="AK30" s="18" t="n">
        <f aca="false">AK28*CHOOSE(AK2,Assumptions!$C$61,Assumptions!$C$62,Assumptions!$C$63)*(Assumptions!$B$10*Assumptions!$B$14+(1-Assumptions!$B$10)*Assumptions!$B$15)/12</f>
        <v>6915</v>
      </c>
    </row>
    <row r="31" customFormat="false" ht="15" hidden="false" customHeight="false" outlineLevel="0" collapsed="false">
      <c r="A31" s="2" t="s">
        <v>158</v>
      </c>
      <c r="B31" s="18" t="n">
        <f aca="false">CHOOSE(B2,Assumptions!$C$55,Assumptions!$C$56,Assumptions!$C$57)</f>
        <v>22000</v>
      </c>
      <c r="C31" s="18" t="n">
        <f aca="false">CHOOSE(C2,Assumptions!$C$55,Assumptions!$C$56,Assumptions!$C$57)</f>
        <v>22000</v>
      </c>
      <c r="D31" s="18" t="n">
        <f aca="false">CHOOSE(D2,Assumptions!$C$55,Assumptions!$C$56,Assumptions!$C$57)</f>
        <v>22000</v>
      </c>
      <c r="E31" s="18" t="n">
        <f aca="false">CHOOSE(E2,Assumptions!$C$55,Assumptions!$C$56,Assumptions!$C$57)</f>
        <v>22000</v>
      </c>
      <c r="F31" s="18" t="n">
        <f aca="false">CHOOSE(F2,Assumptions!$C$55,Assumptions!$C$56,Assumptions!$C$57)</f>
        <v>22000</v>
      </c>
      <c r="G31" s="18" t="n">
        <f aca="false">CHOOSE(G2,Assumptions!$C$55,Assumptions!$C$56,Assumptions!$C$57)</f>
        <v>22000</v>
      </c>
      <c r="H31" s="18" t="n">
        <f aca="false">CHOOSE(H2,Assumptions!$C$55,Assumptions!$C$56,Assumptions!$C$57)</f>
        <v>22000</v>
      </c>
      <c r="I31" s="18" t="n">
        <f aca="false">CHOOSE(I2,Assumptions!$C$55,Assumptions!$C$56,Assumptions!$C$57)</f>
        <v>22000</v>
      </c>
      <c r="J31" s="18" t="n">
        <f aca="false">CHOOSE(J2,Assumptions!$C$55,Assumptions!$C$56,Assumptions!$C$57)</f>
        <v>22000</v>
      </c>
      <c r="K31" s="18" t="n">
        <f aca="false">CHOOSE(K2,Assumptions!$C$55,Assumptions!$C$56,Assumptions!$C$57)</f>
        <v>22000</v>
      </c>
      <c r="L31" s="18" t="n">
        <f aca="false">CHOOSE(L2,Assumptions!$C$55,Assumptions!$C$56,Assumptions!$C$57)</f>
        <v>22000</v>
      </c>
      <c r="M31" s="18" t="n">
        <f aca="false">CHOOSE(M2,Assumptions!$C$55,Assumptions!$C$56,Assumptions!$C$57)</f>
        <v>22000</v>
      </c>
      <c r="N31" s="18" t="n">
        <f aca="false">CHOOSE(N2,Assumptions!$C$55,Assumptions!$C$56,Assumptions!$C$57)</f>
        <v>30000</v>
      </c>
      <c r="O31" s="18" t="n">
        <f aca="false">CHOOSE(O2,Assumptions!$C$55,Assumptions!$C$56,Assumptions!$C$57)</f>
        <v>30000</v>
      </c>
      <c r="P31" s="18" t="n">
        <f aca="false">CHOOSE(P2,Assumptions!$C$55,Assumptions!$C$56,Assumptions!$C$57)</f>
        <v>30000</v>
      </c>
      <c r="Q31" s="18" t="n">
        <f aca="false">CHOOSE(Q2,Assumptions!$C$55,Assumptions!$C$56,Assumptions!$C$57)</f>
        <v>30000</v>
      </c>
      <c r="R31" s="18" t="n">
        <f aca="false">CHOOSE(R2,Assumptions!$C$55,Assumptions!$C$56,Assumptions!$C$57)</f>
        <v>30000</v>
      </c>
      <c r="S31" s="18" t="n">
        <f aca="false">CHOOSE(S2,Assumptions!$C$55,Assumptions!$C$56,Assumptions!$C$57)</f>
        <v>30000</v>
      </c>
      <c r="T31" s="18" t="n">
        <f aca="false">CHOOSE(T2,Assumptions!$C$55,Assumptions!$C$56,Assumptions!$C$57)</f>
        <v>30000</v>
      </c>
      <c r="U31" s="18" t="n">
        <f aca="false">CHOOSE(U2,Assumptions!$C$55,Assumptions!$C$56,Assumptions!$C$57)</f>
        <v>30000</v>
      </c>
      <c r="V31" s="18" t="n">
        <f aca="false">CHOOSE(V2,Assumptions!$C$55,Assumptions!$C$56,Assumptions!$C$57)</f>
        <v>30000</v>
      </c>
      <c r="W31" s="18" t="n">
        <f aca="false">CHOOSE(W2,Assumptions!$C$55,Assumptions!$C$56,Assumptions!$C$57)</f>
        <v>30000</v>
      </c>
      <c r="X31" s="18" t="n">
        <f aca="false">CHOOSE(X2,Assumptions!$C$55,Assumptions!$C$56,Assumptions!$C$57)</f>
        <v>30000</v>
      </c>
      <c r="Y31" s="18" t="n">
        <f aca="false">CHOOSE(Y2,Assumptions!$C$55,Assumptions!$C$56,Assumptions!$C$57)</f>
        <v>30000</v>
      </c>
      <c r="Z31" s="18" t="n">
        <f aca="false">CHOOSE(Z2,Assumptions!$C$55,Assumptions!$C$56,Assumptions!$C$57)</f>
        <v>35000</v>
      </c>
      <c r="AA31" s="18" t="n">
        <f aca="false">CHOOSE(AA2,Assumptions!$C$55,Assumptions!$C$56,Assumptions!$C$57)</f>
        <v>35000</v>
      </c>
      <c r="AB31" s="18" t="n">
        <f aca="false">CHOOSE(AB2,Assumptions!$C$55,Assumptions!$C$56,Assumptions!$C$57)</f>
        <v>35000</v>
      </c>
      <c r="AC31" s="18" t="n">
        <f aca="false">CHOOSE(AC2,Assumptions!$C$55,Assumptions!$C$56,Assumptions!$C$57)</f>
        <v>35000</v>
      </c>
      <c r="AD31" s="18" t="n">
        <f aca="false">CHOOSE(AD2,Assumptions!$C$55,Assumptions!$C$56,Assumptions!$C$57)</f>
        <v>35000</v>
      </c>
      <c r="AE31" s="18" t="n">
        <f aca="false">CHOOSE(AE2,Assumptions!$C$55,Assumptions!$C$56,Assumptions!$C$57)</f>
        <v>35000</v>
      </c>
      <c r="AF31" s="18" t="n">
        <f aca="false">CHOOSE(AF2,Assumptions!$C$55,Assumptions!$C$56,Assumptions!$C$57)</f>
        <v>35000</v>
      </c>
      <c r="AG31" s="18" t="n">
        <f aca="false">CHOOSE(AG2,Assumptions!$C$55,Assumptions!$C$56,Assumptions!$C$57)</f>
        <v>35000</v>
      </c>
      <c r="AH31" s="18" t="n">
        <f aca="false">CHOOSE(AH2,Assumptions!$C$55,Assumptions!$C$56,Assumptions!$C$57)</f>
        <v>35000</v>
      </c>
      <c r="AI31" s="18" t="n">
        <f aca="false">CHOOSE(AI2,Assumptions!$C$55,Assumptions!$C$56,Assumptions!$C$57)</f>
        <v>35000</v>
      </c>
      <c r="AJ31" s="18" t="n">
        <f aca="false">CHOOSE(AJ2,Assumptions!$C$55,Assumptions!$C$56,Assumptions!$C$57)</f>
        <v>35000</v>
      </c>
      <c r="AK31" s="18" t="n">
        <f aca="false">CHOOSE(AK2,Assumptions!$C$55,Assumptions!$C$56,Assumptions!$C$57)</f>
        <v>35000</v>
      </c>
    </row>
    <row r="32" customFormat="false" ht="15" hidden="false" customHeight="false" outlineLevel="0" collapsed="false">
      <c r="A32" s="2" t="s">
        <v>159</v>
      </c>
      <c r="B32" s="18" t="n">
        <f aca="false">IF(B1=0,Assumptions!$B$18,0)+Assumptions!$B$17+B25*Assumptions!$B$21+B24*Assumptions!$B$22</f>
        <v>47237.5</v>
      </c>
      <c r="C32" s="18" t="n">
        <f aca="false">IF(C1=0,Assumptions!$B$18,0)+Assumptions!$B$17+C25*Assumptions!$B$21+C24*Assumptions!$B$22</f>
        <v>2237.5</v>
      </c>
      <c r="D32" s="18" t="n">
        <f aca="false">IF(D1=0,Assumptions!$B$18,0)+Assumptions!$B$17+D25*Assumptions!$B$21+D24*Assumptions!$B$22</f>
        <v>2237.5</v>
      </c>
      <c r="E32" s="18" t="n">
        <f aca="false">IF(E1=0,Assumptions!$B$18,0)+Assumptions!$B$17+E25*Assumptions!$B$21+E24*Assumptions!$B$22</f>
        <v>2237.5</v>
      </c>
      <c r="F32" s="18" t="n">
        <f aca="false">IF(F1=0,Assumptions!$B$18,0)+Assumptions!$B$17+F25*Assumptions!$B$21+F24*Assumptions!$B$22</f>
        <v>2237.5</v>
      </c>
      <c r="G32" s="18" t="n">
        <f aca="false">IF(G1=0,Assumptions!$B$18,0)+Assumptions!$B$17+G25*Assumptions!$B$21+G24*Assumptions!$B$22</f>
        <v>2237.5</v>
      </c>
      <c r="H32" s="18" t="n">
        <f aca="false">IF(H1=0,Assumptions!$B$18,0)+Assumptions!$B$17+H25*Assumptions!$B$21+H24*Assumptions!$B$22</f>
        <v>2237.5</v>
      </c>
      <c r="I32" s="18" t="n">
        <f aca="false">IF(I1=0,Assumptions!$B$18,0)+Assumptions!$B$17+I25*Assumptions!$B$21+I24*Assumptions!$B$22</f>
        <v>2237.5</v>
      </c>
      <c r="J32" s="18" t="n">
        <f aca="false">IF(J1=0,Assumptions!$B$18,0)+Assumptions!$B$17+J25*Assumptions!$B$21+J24*Assumptions!$B$22</f>
        <v>2237.5</v>
      </c>
      <c r="K32" s="18" t="n">
        <f aca="false">IF(K1=0,Assumptions!$B$18,0)+Assumptions!$B$17+K25*Assumptions!$B$21+K24*Assumptions!$B$22</f>
        <v>2237.5</v>
      </c>
      <c r="L32" s="18" t="n">
        <f aca="false">IF(L1=0,Assumptions!$B$18,0)+Assumptions!$B$17+L25*Assumptions!$B$21+L24*Assumptions!$B$22</f>
        <v>2237.5</v>
      </c>
      <c r="M32" s="18" t="n">
        <f aca="false">IF(M1=0,Assumptions!$B$18,0)+Assumptions!$B$17+M25*Assumptions!$B$21+M24*Assumptions!$B$22</f>
        <v>2237.5</v>
      </c>
      <c r="N32" s="18" t="n">
        <f aca="false">IF(N1=0,Assumptions!$B$18,0)+Assumptions!$B$17+N25*Assumptions!$B$21+N24*Assumptions!$B$22</f>
        <v>5987.5</v>
      </c>
      <c r="O32" s="18" t="n">
        <f aca="false">IF(O1=0,Assumptions!$B$18,0)+Assumptions!$B$17+O25*Assumptions!$B$21+O24*Assumptions!$B$22</f>
        <v>5987.5</v>
      </c>
      <c r="P32" s="18" t="n">
        <f aca="false">IF(P1=0,Assumptions!$B$18,0)+Assumptions!$B$17+P25*Assumptions!$B$21+P24*Assumptions!$B$22</f>
        <v>5987.5</v>
      </c>
      <c r="Q32" s="18" t="n">
        <f aca="false">IF(Q1=0,Assumptions!$B$18,0)+Assumptions!$B$17+Q25*Assumptions!$B$21+Q24*Assumptions!$B$22</f>
        <v>5987.5</v>
      </c>
      <c r="R32" s="18" t="n">
        <f aca="false">IF(R1=0,Assumptions!$B$18,0)+Assumptions!$B$17+R25*Assumptions!$B$21+R24*Assumptions!$B$22</f>
        <v>5987.5</v>
      </c>
      <c r="S32" s="18" t="n">
        <f aca="false">IF(S1=0,Assumptions!$B$18,0)+Assumptions!$B$17+S25*Assumptions!$B$21+S24*Assumptions!$B$22</f>
        <v>5987.5</v>
      </c>
      <c r="T32" s="18" t="n">
        <f aca="false">IF(T1=0,Assumptions!$B$18,0)+Assumptions!$B$17+T25*Assumptions!$B$21+T24*Assumptions!$B$22</f>
        <v>5987.5</v>
      </c>
      <c r="U32" s="18" t="n">
        <f aca="false">IF(U1=0,Assumptions!$B$18,0)+Assumptions!$B$17+U25*Assumptions!$B$21+U24*Assumptions!$B$22</f>
        <v>5987.5</v>
      </c>
      <c r="V32" s="18" t="n">
        <f aca="false">IF(V1=0,Assumptions!$B$18,0)+Assumptions!$B$17+V25*Assumptions!$B$21+V24*Assumptions!$B$22</f>
        <v>5987.5</v>
      </c>
      <c r="W32" s="18" t="n">
        <f aca="false">IF(W1=0,Assumptions!$B$18,0)+Assumptions!$B$17+W25*Assumptions!$B$21+W24*Assumptions!$B$22</f>
        <v>5987.5</v>
      </c>
      <c r="X32" s="18" t="n">
        <f aca="false">IF(X1=0,Assumptions!$B$18,0)+Assumptions!$B$17+X25*Assumptions!$B$21+X24*Assumptions!$B$22</f>
        <v>5987.5</v>
      </c>
      <c r="Y32" s="18" t="n">
        <f aca="false">IF(Y1=0,Assumptions!$B$18,0)+Assumptions!$B$17+Y25*Assumptions!$B$21+Y24*Assumptions!$B$22</f>
        <v>5987.5</v>
      </c>
      <c r="Z32" s="18" t="n">
        <f aca="false">IF(Z1=0,Assumptions!$B$18,0)+Assumptions!$B$17+Z25*Assumptions!$B$21+Z24*Assumptions!$B$22</f>
        <v>11175</v>
      </c>
      <c r="AA32" s="18" t="n">
        <f aca="false">IF(AA1=0,Assumptions!$B$18,0)+Assumptions!$B$17+AA25*Assumptions!$B$21+AA24*Assumptions!$B$22</f>
        <v>11175</v>
      </c>
      <c r="AB32" s="18" t="n">
        <f aca="false">IF(AB1=0,Assumptions!$B$18,0)+Assumptions!$B$17+AB25*Assumptions!$B$21+AB24*Assumptions!$B$22</f>
        <v>11175</v>
      </c>
      <c r="AC32" s="18" t="n">
        <f aca="false">IF(AC1=0,Assumptions!$B$18,0)+Assumptions!$B$17+AC25*Assumptions!$B$21+AC24*Assumptions!$B$22</f>
        <v>11175</v>
      </c>
      <c r="AD32" s="18" t="n">
        <f aca="false">IF(AD1=0,Assumptions!$B$18,0)+Assumptions!$B$17+AD25*Assumptions!$B$21+AD24*Assumptions!$B$22</f>
        <v>11175</v>
      </c>
      <c r="AE32" s="18" t="n">
        <f aca="false">IF(AE1=0,Assumptions!$B$18,0)+Assumptions!$B$17+AE25*Assumptions!$B$21+AE24*Assumptions!$B$22</f>
        <v>11175</v>
      </c>
      <c r="AF32" s="18" t="n">
        <f aca="false">IF(AF1=0,Assumptions!$B$18,0)+Assumptions!$B$17+AF25*Assumptions!$B$21+AF24*Assumptions!$B$22</f>
        <v>11175</v>
      </c>
      <c r="AG32" s="18" t="n">
        <f aca="false">IF(AG1=0,Assumptions!$B$18,0)+Assumptions!$B$17+AG25*Assumptions!$B$21+AG24*Assumptions!$B$22</f>
        <v>11175</v>
      </c>
      <c r="AH32" s="18" t="n">
        <f aca="false">IF(AH1=0,Assumptions!$B$18,0)+Assumptions!$B$17+AH25*Assumptions!$B$21+AH24*Assumptions!$B$22</f>
        <v>11175</v>
      </c>
      <c r="AI32" s="18" t="n">
        <f aca="false">IF(AI1=0,Assumptions!$B$18,0)+Assumptions!$B$17+AI25*Assumptions!$B$21+AI24*Assumptions!$B$22</f>
        <v>11175</v>
      </c>
      <c r="AJ32" s="18" t="n">
        <f aca="false">IF(AJ1=0,Assumptions!$B$18,0)+Assumptions!$B$17+AJ25*Assumptions!$B$21+AJ24*Assumptions!$B$22</f>
        <v>11175</v>
      </c>
      <c r="AK32" s="18" t="n">
        <f aca="false">IF(AK1=0,Assumptions!$B$18,0)+Assumptions!$B$17+AK25*Assumptions!$B$21+AK24*Assumptions!$B$22</f>
        <v>11175</v>
      </c>
    </row>
    <row r="33" customFormat="false" ht="15" hidden="false" customHeight="false" outlineLevel="0" collapsed="false">
      <c r="A33" s="3" t="s">
        <v>160</v>
      </c>
      <c r="B33" s="18" t="n">
        <f aca="false">B6+B29+B30+B31+B32</f>
        <v>354568.402777778</v>
      </c>
      <c r="C33" s="18" t="n">
        <f aca="false">C6+C29+C30+C31+C32</f>
        <v>170728.472222222</v>
      </c>
      <c r="D33" s="18" t="n">
        <f aca="false">D6+D29+D30+D31+D32</f>
        <v>170888.541666667</v>
      </c>
      <c r="E33" s="18" t="n">
        <f aca="false">E6+E29+E30+E31+E32</f>
        <v>64715.2777777778</v>
      </c>
      <c r="F33" s="18" t="n">
        <f aca="false">F6+F29+F30+F31+F32</f>
        <v>64875.3472222222</v>
      </c>
      <c r="G33" s="18" t="n">
        <f aca="false">G6+G29+G30+G31+G32</f>
        <v>65035.4166666667</v>
      </c>
      <c r="H33" s="18" t="n">
        <f aca="false">H6+H29+H30+H31+H32</f>
        <v>65195.4861111111</v>
      </c>
      <c r="I33" s="18" t="n">
        <f aca="false">I6+I29+I30+I31+I32</f>
        <v>65355.5555555556</v>
      </c>
      <c r="J33" s="18" t="n">
        <f aca="false">J6+J29+J30+J31+J32</f>
        <v>65515.625</v>
      </c>
      <c r="K33" s="18" t="n">
        <f aca="false">K6+K29+K30+K31+K32</f>
        <v>65675.6944444445</v>
      </c>
      <c r="L33" s="18" t="n">
        <f aca="false">L6+L29+L30+L31+L32</f>
        <v>65835.7638888889</v>
      </c>
      <c r="M33" s="18" t="n">
        <f aca="false">M6+M29+M30+M31+M32</f>
        <v>65995.8333333333</v>
      </c>
      <c r="N33" s="18" t="n">
        <f aca="false">N6+N29+N30+N31+N32</f>
        <v>66690.5555555556</v>
      </c>
      <c r="O33" s="18" t="n">
        <f aca="false">O6+O29+O30+O31+O32</f>
        <v>66818.6111111111</v>
      </c>
      <c r="P33" s="18" t="n">
        <f aca="false">P6+P29+P30+P31+P32</f>
        <v>66946.6666666667</v>
      </c>
      <c r="Q33" s="18" t="n">
        <f aca="false">Q6+Q29+Q30+Q31+Q32</f>
        <v>67074.7222222222</v>
      </c>
      <c r="R33" s="18" t="n">
        <f aca="false">R6+R29+R30+R31+R32</f>
        <v>67202.7777777778</v>
      </c>
      <c r="S33" s="18" t="n">
        <f aca="false">S6+S29+S30+S31+S32</f>
        <v>67330.8333333333</v>
      </c>
      <c r="T33" s="18" t="n">
        <f aca="false">T6+T29+T30+T31+T32</f>
        <v>67458.8888888889</v>
      </c>
      <c r="U33" s="18" t="n">
        <f aca="false">U6+U29+U30+U31+U32</f>
        <v>67586.9444444444</v>
      </c>
      <c r="V33" s="18" t="n">
        <f aca="false">V6+V29+V30+V31+V32</f>
        <v>67715</v>
      </c>
      <c r="W33" s="18" t="n">
        <f aca="false">W6+W29+W30+W31+W32</f>
        <v>67843.0555555556</v>
      </c>
      <c r="X33" s="18" t="n">
        <f aca="false">X6+X29+X30+X31+X32</f>
        <v>67971.1111111111</v>
      </c>
      <c r="Y33" s="18" t="n">
        <f aca="false">Y6+Y29+Y30+Y31+Y32</f>
        <v>68099.1666666667</v>
      </c>
      <c r="Z33" s="18" t="n">
        <f aca="false">Z6+Z29+Z30+Z31+Z32</f>
        <v>75414.7222222222</v>
      </c>
      <c r="AA33" s="18" t="n">
        <f aca="false">AA6+AA29+AA30+AA31+AA32</f>
        <v>75542.7777777778</v>
      </c>
      <c r="AB33" s="18" t="n">
        <f aca="false">AB6+AB29+AB30+AB31+AB32</f>
        <v>75670.8333333333</v>
      </c>
      <c r="AC33" s="18" t="n">
        <f aca="false">AC6+AC29+AC30+AC31+AC32</f>
        <v>75798.8888888889</v>
      </c>
      <c r="AD33" s="18" t="n">
        <f aca="false">AD6+AD29+AD30+AD31+AD32</f>
        <v>75926.9444444445</v>
      </c>
      <c r="AE33" s="18" t="n">
        <f aca="false">AE6+AE29+AE30+AE31+AE32</f>
        <v>76055</v>
      </c>
      <c r="AF33" s="18" t="n">
        <f aca="false">AF6+AF29+AF30+AF31+AF32</f>
        <v>76183.0555555556</v>
      </c>
      <c r="AG33" s="18" t="n">
        <f aca="false">AG6+AG29+AG30+AG31+AG32</f>
        <v>76311.1111111111</v>
      </c>
      <c r="AH33" s="18" t="n">
        <f aca="false">AH6+AH29+AH30+AH31+AH32</f>
        <v>76439.1666666667</v>
      </c>
      <c r="AI33" s="18" t="n">
        <f aca="false">AI6+AI29+AI30+AI31+AI32</f>
        <v>76567.2222222222</v>
      </c>
      <c r="AJ33" s="18" t="n">
        <f aca="false">AJ6+AJ29+AJ30+AJ31+AJ32</f>
        <v>76695.2777777778</v>
      </c>
      <c r="AK33" s="18" t="n">
        <f aca="false">AK6+AK29+AK30+AK31+AK32</f>
        <v>76823.3333333333</v>
      </c>
    </row>
    <row r="34" customFormat="false" ht="15" hidden="false" customHeight="false" outlineLevel="0" collapsed="false">
      <c r="A34" s="3" t="s">
        <v>161</v>
      </c>
      <c r="B34" s="18" t="n">
        <f aca="false">B26-B33</f>
        <v>-350818.402777778</v>
      </c>
      <c r="C34" s="18" t="n">
        <f aca="false">C26-C33</f>
        <v>-166978.472222222</v>
      </c>
      <c r="D34" s="18" t="n">
        <f aca="false">D26-D33</f>
        <v>-167138.541666667</v>
      </c>
      <c r="E34" s="18" t="n">
        <f aca="false">E26-E33</f>
        <v>-60965.2777777778</v>
      </c>
      <c r="F34" s="18" t="n">
        <f aca="false">F26-F33</f>
        <v>-61125.3472222222</v>
      </c>
      <c r="G34" s="18" t="n">
        <f aca="false">G26-G33</f>
        <v>-61285.4166666667</v>
      </c>
      <c r="H34" s="18" t="n">
        <f aca="false">H26-H33</f>
        <v>-61445.4861111111</v>
      </c>
      <c r="I34" s="18" t="n">
        <f aca="false">I26-I33</f>
        <v>-61605.5555555556</v>
      </c>
      <c r="J34" s="18" t="n">
        <f aca="false">J26-J33</f>
        <v>-61765.625</v>
      </c>
      <c r="K34" s="18" t="n">
        <f aca="false">K26-K33</f>
        <v>-19408.4551587302</v>
      </c>
      <c r="L34" s="18" t="n">
        <f aca="false">L26-L33</f>
        <v>-26436.1674603175</v>
      </c>
      <c r="M34" s="18" t="n">
        <f aca="false">M26-M33</f>
        <v>-4534.96440476192</v>
      </c>
      <c r="N34" s="18" t="n">
        <f aca="false">N26-N33</f>
        <v>-29831.8884555556</v>
      </c>
      <c r="O34" s="18" t="n">
        <f aca="false">O26-O33</f>
        <v>-30022.9323661111</v>
      </c>
      <c r="P34" s="18" t="n">
        <f aca="false">P26-P33</f>
        <v>-30210.4493589167</v>
      </c>
      <c r="Q34" s="18" t="n">
        <f aca="false">Q26-Q33</f>
        <v>-30394.6157798597</v>
      </c>
      <c r="R34" s="18" t="n">
        <f aca="false">R26-R33</f>
        <v>-30575.5991575334</v>
      </c>
      <c r="S34" s="18" t="n">
        <f aca="false">S26-S33</f>
        <v>-30753.5586441012</v>
      </c>
      <c r="T34" s="18" t="n">
        <f aca="false">T26-T33</f>
        <v>-30928.6454341183</v>
      </c>
      <c r="U34" s="18" t="n">
        <f aca="false">U26-U33</f>
        <v>-31101.0031624124</v>
      </c>
      <c r="V34" s="18" t="n">
        <f aca="false">V26-V33</f>
        <v>-31270.7682820696</v>
      </c>
      <c r="W34" s="18" t="n">
        <f aca="false">W26-W33</f>
        <v>-34251.5853652965</v>
      </c>
      <c r="X34" s="18" t="n">
        <f aca="false">X26-X33</f>
        <v>-34464.711430365</v>
      </c>
      <c r="Y34" s="18" t="n">
        <f aca="false">Y26-Y33</f>
        <v>-34673.2819699579</v>
      </c>
      <c r="Z34" s="18" t="n">
        <f aca="false">Z26-Z33</f>
        <v>-24572.4347603488</v>
      </c>
      <c r="AA34" s="18" t="n">
        <f aca="false">AA26-AA33</f>
        <v>-24818.2581889981</v>
      </c>
      <c r="AB34" s="18" t="n">
        <f aca="false">AB26-AB33</f>
        <v>-25057.9402239926</v>
      </c>
      <c r="AC34" s="18" t="n">
        <f aca="false">AC26-AC33</f>
        <v>-25291.7879350152</v>
      </c>
      <c r="AD34" s="18" t="n">
        <f aca="false">AD26-AD33</f>
        <v>-25520.0930382645</v>
      </c>
      <c r="AE34" s="18" t="n">
        <f aca="false">AE26-AE33</f>
        <v>-25743.132664129</v>
      </c>
      <c r="AF34" s="18" t="n">
        <f aca="false">AF26-AF33</f>
        <v>-25961.1700864781</v>
      </c>
      <c r="AG34" s="18" t="n">
        <f aca="false">AG26-AG33</f>
        <v>-26174.4554154875</v>
      </c>
      <c r="AH34" s="18" t="n">
        <f aca="false">AH26-AH33</f>
        <v>-26383.2262558243</v>
      </c>
      <c r="AI34" s="18" t="n">
        <f aca="false">AI26-AI33</f>
        <v>-26587.7083319219</v>
      </c>
      <c r="AJ34" s="18" t="n">
        <f aca="false">AJ26-AJ33</f>
        <v>-26788.1160819925</v>
      </c>
      <c r="AK34" s="18" t="n">
        <f aca="false">AK26-AK33</f>
        <v>-26984.6532223373</v>
      </c>
    </row>
    <row r="35" customFormat="false" ht="15" hidden="false" customHeight="false" outlineLevel="0" collapsed="false">
      <c r="A35" s="3" t="s">
        <v>162</v>
      </c>
      <c r="B35" s="18" t="n">
        <f aca="false">B34</f>
        <v>-350818.402777778</v>
      </c>
      <c r="C35" s="18" t="n">
        <f aca="false">B35+C34</f>
        <v>-517796.875</v>
      </c>
      <c r="D35" s="18" t="n">
        <f aca="false">C35+D34</f>
        <v>-684935.416666667</v>
      </c>
      <c r="E35" s="18" t="n">
        <f aca="false">D35+E34</f>
        <v>-745900.694444444</v>
      </c>
      <c r="F35" s="18" t="n">
        <f aca="false">E35+F34</f>
        <v>-807026.041666667</v>
      </c>
      <c r="G35" s="18" t="n">
        <f aca="false">F35+G34</f>
        <v>-868311.458333333</v>
      </c>
      <c r="H35" s="18" t="n">
        <f aca="false">G35+H34</f>
        <v>-929756.944444444</v>
      </c>
      <c r="I35" s="18" t="n">
        <f aca="false">H35+I34</f>
        <v>-991362.5</v>
      </c>
      <c r="J35" s="18" t="n">
        <f aca="false">I35+J34</f>
        <v>-1053128.125</v>
      </c>
      <c r="K35" s="18" t="n">
        <f aca="false">J35+K34</f>
        <v>-1072536.58015873</v>
      </c>
      <c r="L35" s="18" t="n">
        <f aca="false">K35+L34</f>
        <v>-1098972.74761905</v>
      </c>
      <c r="M35" s="18" t="n">
        <f aca="false">L35+M34</f>
        <v>-1103507.71202381</v>
      </c>
      <c r="N35" s="18" t="n">
        <f aca="false">M35+N34</f>
        <v>-1133339.60047937</v>
      </c>
      <c r="O35" s="18" t="n">
        <f aca="false">N35+O34</f>
        <v>-1163362.53284548</v>
      </c>
      <c r="P35" s="18" t="n">
        <f aca="false">O35+P34</f>
        <v>-1193572.98220439</v>
      </c>
      <c r="Q35" s="18" t="n">
        <f aca="false">P35+Q34</f>
        <v>-1223967.59798425</v>
      </c>
      <c r="R35" s="18" t="n">
        <f aca="false">Q35+R34</f>
        <v>-1254543.19714179</v>
      </c>
      <c r="S35" s="18" t="n">
        <f aca="false">R35+S34</f>
        <v>-1285296.75578589</v>
      </c>
      <c r="T35" s="18" t="n">
        <f aca="false">S35+T34</f>
        <v>-1316225.40122001</v>
      </c>
      <c r="U35" s="18" t="n">
        <f aca="false">T35+U34</f>
        <v>-1347326.40438242</v>
      </c>
      <c r="V35" s="18" t="n">
        <f aca="false">U35+V34</f>
        <v>-1378597.17266449</v>
      </c>
      <c r="W35" s="18" t="n">
        <f aca="false">V35+W34</f>
        <v>-1412848.75802978</v>
      </c>
      <c r="X35" s="18" t="n">
        <f aca="false">W35+X34</f>
        <v>-1447313.46946015</v>
      </c>
      <c r="Y35" s="18" t="n">
        <f aca="false">X35+Y34</f>
        <v>-1481986.75143011</v>
      </c>
      <c r="Z35" s="18" t="n">
        <f aca="false">Y35+Z34</f>
        <v>-1506559.18619046</v>
      </c>
      <c r="AA35" s="18" t="n">
        <f aca="false">Z35+AA34</f>
        <v>-1531377.44437945</v>
      </c>
      <c r="AB35" s="18" t="n">
        <f aca="false">AA35+AB34</f>
        <v>-1556435.38460345</v>
      </c>
      <c r="AC35" s="18" t="n">
        <f aca="false">AB35+AC34</f>
        <v>-1581727.17253846</v>
      </c>
      <c r="AD35" s="18" t="n">
        <f aca="false">AC35+AD34</f>
        <v>-1607247.26557673</v>
      </c>
      <c r="AE35" s="18" t="n">
        <f aca="false">AD35+AE34</f>
        <v>-1632990.39824086</v>
      </c>
      <c r="AF35" s="18" t="n">
        <f aca="false">AE35+AF34</f>
        <v>-1658951.56832733</v>
      </c>
      <c r="AG35" s="18" t="n">
        <f aca="false">AF35+AG34</f>
        <v>-1685126.02374282</v>
      </c>
      <c r="AH35" s="18" t="n">
        <f aca="false">AG35+AH34</f>
        <v>-1711509.24999865</v>
      </c>
      <c r="AI35" s="18" t="n">
        <f aca="false">AH35+AI34</f>
        <v>-1738096.95833057</v>
      </c>
      <c r="AJ35" s="18" t="n">
        <f aca="false">AI35+AJ34</f>
        <v>-1764885.07441256</v>
      </c>
      <c r="AK35" s="18" t="n">
        <f aca="false">AJ35+AK34</f>
        <v>-1791869.7276349</v>
      </c>
    </row>
    <row r="36" customFormat="false" ht="15" hidden="false" customHeight="false" outlineLevel="0" collapsed="false">
      <c r="A36" s="2" t="s">
        <v>163</v>
      </c>
      <c r="B36" s="18" t="n">
        <f aca="false">B26</f>
        <v>3750</v>
      </c>
      <c r="C36" s="18" t="n">
        <f aca="false">B36+C26</f>
        <v>7500</v>
      </c>
      <c r="D36" s="18" t="n">
        <f aca="false">C36+D26</f>
        <v>11250</v>
      </c>
      <c r="E36" s="18" t="n">
        <f aca="false">D36+E26</f>
        <v>15000</v>
      </c>
      <c r="F36" s="18" t="n">
        <f aca="false">E36+F26</f>
        <v>18750</v>
      </c>
      <c r="G36" s="18" t="n">
        <f aca="false">F36+G26</f>
        <v>22500</v>
      </c>
      <c r="H36" s="18" t="n">
        <f aca="false">G36+H26</f>
        <v>26250</v>
      </c>
      <c r="I36" s="18" t="n">
        <f aca="false">H36+I26</f>
        <v>30000</v>
      </c>
      <c r="J36" s="18" t="n">
        <f aca="false">I36+J26</f>
        <v>33750</v>
      </c>
      <c r="K36" s="18" t="n">
        <f aca="false">J36+K26</f>
        <v>80017.2392857143</v>
      </c>
      <c r="L36" s="18" t="n">
        <f aca="false">K36+L26</f>
        <v>119416.835714286</v>
      </c>
      <c r="M36" s="18" t="n">
        <f aca="false">L36+M26</f>
        <v>180877.704642857</v>
      </c>
      <c r="N36" s="18" t="n">
        <f aca="false">M36+N26</f>
        <v>217736.371742857</v>
      </c>
      <c r="O36" s="18" t="n">
        <f aca="false">N36+O26</f>
        <v>254532.050487857</v>
      </c>
      <c r="P36" s="18" t="n">
        <f aca="false">O36+P26</f>
        <v>291268.267795607</v>
      </c>
      <c r="Q36" s="18" t="n">
        <f aca="false">P36+Q26</f>
        <v>327948.37423797</v>
      </c>
      <c r="R36" s="18" t="n">
        <f aca="false">Q36+R26</f>
        <v>364575.552858214</v>
      </c>
      <c r="S36" s="18" t="n">
        <f aca="false">R36+S26</f>
        <v>401152.827547446</v>
      </c>
      <c r="T36" s="18" t="n">
        <f aca="false">S36+T26</f>
        <v>437683.071002217</v>
      </c>
      <c r="U36" s="18" t="n">
        <f aca="false">T36+U26</f>
        <v>474169.012284249</v>
      </c>
      <c r="V36" s="18" t="n">
        <f aca="false">U36+V26</f>
        <v>510613.244002179</v>
      </c>
      <c r="W36" s="18" t="n">
        <f aca="false">V36+W26</f>
        <v>544204.714192438</v>
      </c>
      <c r="X36" s="18" t="n">
        <f aca="false">W36+X26</f>
        <v>577711.113873184</v>
      </c>
      <c r="Y36" s="18" t="n">
        <f aca="false">X36+Y26</f>
        <v>611136.998569893</v>
      </c>
      <c r="Z36" s="18" t="n">
        <f aca="false">Y36+Z26</f>
        <v>661979.286031767</v>
      </c>
      <c r="AA36" s="18" t="n">
        <f aca="false">Z36+AA26</f>
        <v>712703.805620546</v>
      </c>
      <c r="AB36" s="18" t="n">
        <f aca="false">AA36+AB26</f>
        <v>763316.698729887</v>
      </c>
      <c r="AC36" s="18" t="n">
        <f aca="false">AB36+AC26</f>
        <v>813823.799683761</v>
      </c>
      <c r="AD36" s="18" t="n">
        <f aca="false">AC36+AD26</f>
        <v>864230.651089941</v>
      </c>
      <c r="AE36" s="18" t="n">
        <f aca="false">AD36+AE26</f>
        <v>914542.518425812</v>
      </c>
      <c r="AF36" s="18" t="n">
        <f aca="false">AE36+AF26</f>
        <v>964764.403894889</v>
      </c>
      <c r="AG36" s="18" t="n">
        <f aca="false">AF36+AG26</f>
        <v>1014901.05959051</v>
      </c>
      <c r="AH36" s="18" t="n">
        <f aca="false">AG36+AH26</f>
        <v>1064957.00000135</v>
      </c>
      <c r="AI36" s="18" t="n">
        <f aca="false">AH36+AI26</f>
        <v>1114936.51389166</v>
      </c>
      <c r="AJ36" s="18" t="n">
        <f aca="false">AI36+AJ26</f>
        <v>1164843.67558744</v>
      </c>
      <c r="AK36" s="18" t="n">
        <f aca="false">AJ36+AK26</f>
        <v>1214682.35569844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7" min="2" style="0" width="11"/>
  </cols>
  <sheetData>
    <row r="1" customFormat="false" ht="15" hidden="false" customHeight="false" outlineLevel="0" collapsed="false">
      <c r="A1" s="2" t="s">
        <v>128</v>
      </c>
      <c r="B1" s="15" t="n">
        <v>0</v>
      </c>
      <c r="C1" s="15" t="n">
        <v>1</v>
      </c>
      <c r="D1" s="15" t="n">
        <v>2</v>
      </c>
      <c r="E1" s="15" t="n">
        <v>3</v>
      </c>
      <c r="F1" s="15" t="n">
        <v>4</v>
      </c>
      <c r="G1" s="15" t="n">
        <v>5</v>
      </c>
      <c r="H1" s="15" t="n">
        <v>6</v>
      </c>
      <c r="I1" s="15" t="n">
        <v>7</v>
      </c>
      <c r="J1" s="15" t="n">
        <v>8</v>
      </c>
      <c r="K1" s="15" t="n">
        <v>9</v>
      </c>
      <c r="L1" s="15" t="n">
        <v>10</v>
      </c>
      <c r="M1" s="15" t="n">
        <v>11</v>
      </c>
      <c r="N1" s="15" t="n">
        <v>12</v>
      </c>
      <c r="O1" s="15" t="n">
        <v>13</v>
      </c>
      <c r="P1" s="15" t="n">
        <v>14</v>
      </c>
      <c r="Q1" s="15" t="n">
        <v>15</v>
      </c>
      <c r="R1" s="15" t="n">
        <v>16</v>
      </c>
      <c r="S1" s="15" t="n">
        <v>17</v>
      </c>
      <c r="T1" s="15" t="n">
        <v>18</v>
      </c>
      <c r="U1" s="15" t="n">
        <v>19</v>
      </c>
      <c r="V1" s="15" t="n">
        <v>20</v>
      </c>
      <c r="W1" s="15" t="n">
        <v>21</v>
      </c>
      <c r="X1" s="15" t="n">
        <v>22</v>
      </c>
      <c r="Y1" s="15" t="n">
        <v>23</v>
      </c>
      <c r="Z1" s="15" t="n">
        <v>24</v>
      </c>
      <c r="AA1" s="15" t="n">
        <v>25</v>
      </c>
      <c r="AB1" s="15" t="n">
        <v>26</v>
      </c>
      <c r="AC1" s="15" t="n">
        <v>27</v>
      </c>
      <c r="AD1" s="15" t="n">
        <v>28</v>
      </c>
      <c r="AE1" s="15" t="n">
        <v>29</v>
      </c>
      <c r="AF1" s="15" t="n">
        <v>30</v>
      </c>
      <c r="AG1" s="15" t="n">
        <v>31</v>
      </c>
      <c r="AH1" s="15" t="n">
        <v>32</v>
      </c>
      <c r="AI1" s="15" t="n">
        <v>33</v>
      </c>
      <c r="AJ1" s="15" t="n">
        <v>34</v>
      </c>
      <c r="AK1" s="15" t="n">
        <v>35</v>
      </c>
    </row>
    <row r="2" customFormat="false" ht="15" hidden="false" customHeight="false" outlineLevel="0" collapsed="false">
      <c r="A2" s="2" t="s">
        <v>129</v>
      </c>
      <c r="B2" s="15" t="n">
        <f aca="false">1+INT(B1/12)</f>
        <v>1</v>
      </c>
      <c r="C2" s="15" t="n">
        <f aca="false">1+INT(C1/12)</f>
        <v>1</v>
      </c>
      <c r="D2" s="15" t="n">
        <f aca="false">1+INT(D1/12)</f>
        <v>1</v>
      </c>
      <c r="E2" s="15" t="n">
        <f aca="false">1+INT(E1/12)</f>
        <v>1</v>
      </c>
      <c r="F2" s="15" t="n">
        <f aca="false">1+INT(F1/12)</f>
        <v>1</v>
      </c>
      <c r="G2" s="15" t="n">
        <f aca="false">1+INT(G1/12)</f>
        <v>1</v>
      </c>
      <c r="H2" s="15" t="n">
        <f aca="false">1+INT(H1/12)</f>
        <v>1</v>
      </c>
      <c r="I2" s="15" t="n">
        <f aca="false">1+INT(I1/12)</f>
        <v>1</v>
      </c>
      <c r="J2" s="15" t="n">
        <f aca="false">1+INT(J1/12)</f>
        <v>1</v>
      </c>
      <c r="K2" s="15" t="n">
        <f aca="false">1+INT(K1/12)</f>
        <v>1</v>
      </c>
      <c r="L2" s="15" t="n">
        <f aca="false">1+INT(L1/12)</f>
        <v>1</v>
      </c>
      <c r="M2" s="15" t="n">
        <f aca="false">1+INT(M1/12)</f>
        <v>1</v>
      </c>
      <c r="N2" s="15" t="n">
        <f aca="false">1+INT(N1/12)</f>
        <v>2</v>
      </c>
      <c r="O2" s="15" t="n">
        <f aca="false">1+INT(O1/12)</f>
        <v>2</v>
      </c>
      <c r="P2" s="15" t="n">
        <f aca="false">1+INT(P1/12)</f>
        <v>2</v>
      </c>
      <c r="Q2" s="15" t="n">
        <f aca="false">1+INT(Q1/12)</f>
        <v>2</v>
      </c>
      <c r="R2" s="15" t="n">
        <f aca="false">1+INT(R1/12)</f>
        <v>2</v>
      </c>
      <c r="S2" s="15" t="n">
        <f aca="false">1+INT(S1/12)</f>
        <v>2</v>
      </c>
      <c r="T2" s="15" t="n">
        <f aca="false">1+INT(T1/12)</f>
        <v>2</v>
      </c>
      <c r="U2" s="15" t="n">
        <f aca="false">1+INT(U1/12)</f>
        <v>2</v>
      </c>
      <c r="V2" s="15" t="n">
        <f aca="false">1+INT(V1/12)</f>
        <v>2</v>
      </c>
      <c r="W2" s="15" t="n">
        <f aca="false">1+INT(W1/12)</f>
        <v>2</v>
      </c>
      <c r="X2" s="15" t="n">
        <f aca="false">1+INT(X1/12)</f>
        <v>2</v>
      </c>
      <c r="Y2" s="15" t="n">
        <f aca="false">1+INT(Y1/12)</f>
        <v>2</v>
      </c>
      <c r="Z2" s="15" t="n">
        <f aca="false">1+INT(Z1/12)</f>
        <v>3</v>
      </c>
      <c r="AA2" s="15" t="n">
        <f aca="false">1+INT(AA1/12)</f>
        <v>3</v>
      </c>
      <c r="AB2" s="15" t="n">
        <f aca="false">1+INT(AB1/12)</f>
        <v>3</v>
      </c>
      <c r="AC2" s="15" t="n">
        <f aca="false">1+INT(AC1/12)</f>
        <v>3</v>
      </c>
      <c r="AD2" s="15" t="n">
        <f aca="false">1+INT(AD1/12)</f>
        <v>3</v>
      </c>
      <c r="AE2" s="15" t="n">
        <f aca="false">1+INT(AE1/12)</f>
        <v>3</v>
      </c>
      <c r="AF2" s="15" t="n">
        <f aca="false">1+INT(AF1/12)</f>
        <v>3</v>
      </c>
      <c r="AG2" s="15" t="n">
        <f aca="false">1+INT(AG1/12)</f>
        <v>3</v>
      </c>
      <c r="AH2" s="15" t="n">
        <f aca="false">1+INT(AH1/12)</f>
        <v>3</v>
      </c>
      <c r="AI2" s="15" t="n">
        <f aca="false">1+INT(AI1/12)</f>
        <v>3</v>
      </c>
      <c r="AJ2" s="15" t="n">
        <f aca="false">1+INT(AJ1/12)</f>
        <v>3</v>
      </c>
      <c r="AK2" s="15" t="n">
        <f aca="false">1+INT(AK1/12)</f>
        <v>3</v>
      </c>
    </row>
    <row r="3" customFormat="false" ht="15" hidden="false" customHeight="false" outlineLevel="0" collapsed="false">
      <c r="A3" s="2" t="s">
        <v>130</v>
      </c>
      <c r="B3" s="15" t="n">
        <f aca="false">IF(B1&gt;=Assumptions!$D$64,1,0)</f>
        <v>0</v>
      </c>
      <c r="C3" s="15" t="n">
        <f aca="false">IF(C1&gt;=Assumptions!$D$64,1,0)</f>
        <v>0</v>
      </c>
      <c r="D3" s="15" t="n">
        <f aca="false">IF(D1&gt;=Assumptions!$D$64,1,0)</f>
        <v>0</v>
      </c>
      <c r="E3" s="15" t="n">
        <f aca="false">IF(E1&gt;=Assumptions!$D$64,1,0)</f>
        <v>0</v>
      </c>
      <c r="F3" s="15" t="n">
        <f aca="false">IF(F1&gt;=Assumptions!$D$64,1,0)</f>
        <v>0</v>
      </c>
      <c r="G3" s="15" t="n">
        <f aca="false">IF(G1&gt;=Assumptions!$D$64,1,0)</f>
        <v>0</v>
      </c>
      <c r="H3" s="15" t="n">
        <f aca="false">IF(H1&gt;=Assumptions!$D$64,1,0)</f>
        <v>0</v>
      </c>
      <c r="I3" s="15" t="n">
        <f aca="false">IF(I1&gt;=Assumptions!$D$64,1,0)</f>
        <v>0</v>
      </c>
      <c r="J3" s="15" t="n">
        <f aca="false">IF(J1&gt;=Assumptions!$D$64,1,0)</f>
        <v>0</v>
      </c>
      <c r="K3" s="15" t="n">
        <f aca="false">IF(K1&gt;=Assumptions!$D$64,1,0)</f>
        <v>0</v>
      </c>
      <c r="L3" s="15" t="n">
        <f aca="false">IF(L1&gt;=Assumptions!$D$64,1,0)</f>
        <v>0</v>
      </c>
      <c r="M3" s="15" t="n">
        <f aca="false">IF(M1&gt;=Assumptions!$D$64,1,0)</f>
        <v>0</v>
      </c>
      <c r="N3" s="15" t="n">
        <f aca="false">IF(N1&gt;=Assumptions!$D$64,1,0)</f>
        <v>0</v>
      </c>
      <c r="O3" s="15" t="n">
        <f aca="false">IF(O1&gt;=Assumptions!$D$64,1,0)</f>
        <v>0</v>
      </c>
      <c r="P3" s="15" t="n">
        <f aca="false">IF(P1&gt;=Assumptions!$D$64,1,0)</f>
        <v>0</v>
      </c>
      <c r="Q3" s="15" t="n">
        <f aca="false">IF(Q1&gt;=Assumptions!$D$64,1,0)</f>
        <v>1</v>
      </c>
      <c r="R3" s="15" t="n">
        <f aca="false">IF(R1&gt;=Assumptions!$D$64,1,0)</f>
        <v>1</v>
      </c>
      <c r="S3" s="15" t="n">
        <f aca="false">IF(S1&gt;=Assumptions!$D$64,1,0)</f>
        <v>1</v>
      </c>
      <c r="T3" s="15" t="n">
        <f aca="false">IF(T1&gt;=Assumptions!$D$64,1,0)</f>
        <v>1</v>
      </c>
      <c r="U3" s="15" t="n">
        <f aca="false">IF(U1&gt;=Assumptions!$D$64,1,0)</f>
        <v>1</v>
      </c>
      <c r="V3" s="15" t="n">
        <f aca="false">IF(V1&gt;=Assumptions!$D$64,1,0)</f>
        <v>1</v>
      </c>
      <c r="W3" s="15" t="n">
        <f aca="false">IF(W1&gt;=Assumptions!$D$64,1,0)</f>
        <v>1</v>
      </c>
      <c r="X3" s="15" t="n">
        <f aca="false">IF(X1&gt;=Assumptions!$D$64,1,0)</f>
        <v>1</v>
      </c>
      <c r="Y3" s="15" t="n">
        <f aca="false">IF(Y1&gt;=Assumptions!$D$64,1,0)</f>
        <v>1</v>
      </c>
      <c r="Z3" s="15" t="n">
        <f aca="false">IF(Z1&gt;=Assumptions!$D$64,1,0)</f>
        <v>1</v>
      </c>
      <c r="AA3" s="15" t="n">
        <f aca="false">IF(AA1&gt;=Assumptions!$D$64,1,0)</f>
        <v>1</v>
      </c>
      <c r="AB3" s="15" t="n">
        <f aca="false">IF(AB1&gt;=Assumptions!$D$64,1,0)</f>
        <v>1</v>
      </c>
      <c r="AC3" s="15" t="n">
        <f aca="false">IF(AC1&gt;=Assumptions!$D$64,1,0)</f>
        <v>1</v>
      </c>
      <c r="AD3" s="15" t="n">
        <f aca="false">IF(AD1&gt;=Assumptions!$D$64,1,0)</f>
        <v>1</v>
      </c>
      <c r="AE3" s="15" t="n">
        <f aca="false">IF(AE1&gt;=Assumptions!$D$64,1,0)</f>
        <v>1</v>
      </c>
      <c r="AF3" s="15" t="n">
        <f aca="false">IF(AF1&gt;=Assumptions!$D$64,1,0)</f>
        <v>1</v>
      </c>
      <c r="AG3" s="15" t="n">
        <f aca="false">IF(AG1&gt;=Assumptions!$D$64,1,0)</f>
        <v>1</v>
      </c>
      <c r="AH3" s="15" t="n">
        <f aca="false">IF(AH1&gt;=Assumptions!$D$64,1,0)</f>
        <v>1</v>
      </c>
      <c r="AI3" s="15" t="n">
        <f aca="false">IF(AI1&gt;=Assumptions!$D$64,1,0)</f>
        <v>1</v>
      </c>
      <c r="AJ3" s="15" t="n">
        <f aca="false">IF(AJ1&gt;=Assumptions!$D$64,1,0)</f>
        <v>1</v>
      </c>
      <c r="AK3" s="15" t="n">
        <f aca="false">IF(AK1&gt;=Assumptions!$D$64,1,0)</f>
        <v>1</v>
      </c>
    </row>
    <row r="4" customFormat="false" ht="15" hidden="false" customHeight="false" outlineLevel="0" collapsed="false">
      <c r="A4" s="2" t="s">
        <v>131</v>
      </c>
      <c r="B4" s="16" t="n">
        <f aca="false">IF(B3=1,Assumptions!$D$65,1)</f>
        <v>1</v>
      </c>
      <c r="C4" s="16" t="n">
        <f aca="false">IF(C3=1,Assumptions!$D$65,1)</f>
        <v>1</v>
      </c>
      <c r="D4" s="16" t="n">
        <f aca="false">IF(D3=1,Assumptions!$D$65,1)</f>
        <v>1</v>
      </c>
      <c r="E4" s="16" t="n">
        <f aca="false">IF(E3=1,Assumptions!$D$65,1)</f>
        <v>1</v>
      </c>
      <c r="F4" s="16" t="n">
        <f aca="false">IF(F3=1,Assumptions!$D$65,1)</f>
        <v>1</v>
      </c>
      <c r="G4" s="16" t="n">
        <f aca="false">IF(G3=1,Assumptions!$D$65,1)</f>
        <v>1</v>
      </c>
      <c r="H4" s="16" t="n">
        <f aca="false">IF(H3=1,Assumptions!$D$65,1)</f>
        <v>1</v>
      </c>
      <c r="I4" s="16" t="n">
        <f aca="false">IF(I3=1,Assumptions!$D$65,1)</f>
        <v>1</v>
      </c>
      <c r="J4" s="16" t="n">
        <f aca="false">IF(J3=1,Assumptions!$D$65,1)</f>
        <v>1</v>
      </c>
      <c r="K4" s="16" t="n">
        <f aca="false">IF(K3=1,Assumptions!$D$65,1)</f>
        <v>1</v>
      </c>
      <c r="L4" s="16" t="n">
        <f aca="false">IF(L3=1,Assumptions!$D$65,1)</f>
        <v>1</v>
      </c>
      <c r="M4" s="16" t="n">
        <f aca="false">IF(M3=1,Assumptions!$D$65,1)</f>
        <v>1</v>
      </c>
      <c r="N4" s="16" t="n">
        <f aca="false">IF(N3=1,Assumptions!$D$65,1)</f>
        <v>1</v>
      </c>
      <c r="O4" s="16" t="n">
        <f aca="false">IF(O3=1,Assumptions!$D$65,1)</f>
        <v>1</v>
      </c>
      <c r="P4" s="16" t="n">
        <f aca="false">IF(P3=1,Assumptions!$D$65,1)</f>
        <v>1</v>
      </c>
      <c r="Q4" s="16" t="n">
        <f aca="false">IF(Q3=1,Assumptions!$D$65,1)</f>
        <v>0.75</v>
      </c>
      <c r="R4" s="16" t="n">
        <f aca="false">IF(R3=1,Assumptions!$D$65,1)</f>
        <v>0.75</v>
      </c>
      <c r="S4" s="16" t="n">
        <f aca="false">IF(S3=1,Assumptions!$D$65,1)</f>
        <v>0.75</v>
      </c>
      <c r="T4" s="16" t="n">
        <f aca="false">IF(T3=1,Assumptions!$D$65,1)</f>
        <v>0.75</v>
      </c>
      <c r="U4" s="16" t="n">
        <f aca="false">IF(U3=1,Assumptions!$D$65,1)</f>
        <v>0.75</v>
      </c>
      <c r="V4" s="16" t="n">
        <f aca="false">IF(V3=1,Assumptions!$D$65,1)</f>
        <v>0.75</v>
      </c>
      <c r="W4" s="16" t="n">
        <f aca="false">IF(W3=1,Assumptions!$D$65,1)</f>
        <v>0.75</v>
      </c>
      <c r="X4" s="16" t="n">
        <f aca="false">IF(X3=1,Assumptions!$D$65,1)</f>
        <v>0.75</v>
      </c>
      <c r="Y4" s="16" t="n">
        <f aca="false">IF(Y3=1,Assumptions!$D$65,1)</f>
        <v>0.75</v>
      </c>
      <c r="Z4" s="16" t="n">
        <f aca="false">IF(Z3=1,Assumptions!$D$65,1)</f>
        <v>0.75</v>
      </c>
      <c r="AA4" s="16" t="n">
        <f aca="false">IF(AA3=1,Assumptions!$D$65,1)</f>
        <v>0.75</v>
      </c>
      <c r="AB4" s="16" t="n">
        <f aca="false">IF(AB3=1,Assumptions!$D$65,1)</f>
        <v>0.75</v>
      </c>
      <c r="AC4" s="16" t="n">
        <f aca="false">IF(AC3=1,Assumptions!$D$65,1)</f>
        <v>0.75</v>
      </c>
      <c r="AD4" s="16" t="n">
        <f aca="false">IF(AD3=1,Assumptions!$D$65,1)</f>
        <v>0.75</v>
      </c>
      <c r="AE4" s="16" t="n">
        <f aca="false">IF(AE3=1,Assumptions!$D$65,1)</f>
        <v>0.75</v>
      </c>
      <c r="AF4" s="16" t="n">
        <f aca="false">IF(AF3=1,Assumptions!$D$65,1)</f>
        <v>0.75</v>
      </c>
      <c r="AG4" s="16" t="n">
        <f aca="false">IF(AG3=1,Assumptions!$D$65,1)</f>
        <v>0.75</v>
      </c>
      <c r="AH4" s="16" t="n">
        <f aca="false">IF(AH3=1,Assumptions!$D$65,1)</f>
        <v>0.75</v>
      </c>
      <c r="AI4" s="16" t="n">
        <f aca="false">IF(AI3=1,Assumptions!$D$65,1)</f>
        <v>0.75</v>
      </c>
      <c r="AJ4" s="16" t="n">
        <f aca="false">IF(AJ3=1,Assumptions!$D$65,1)</f>
        <v>0.75</v>
      </c>
      <c r="AK4" s="16" t="n">
        <f aca="false">IF(AK3=1,Assumptions!$D$65,1)</f>
        <v>0.75</v>
      </c>
    </row>
    <row r="5" customFormat="false" ht="15" hidden="false" customHeight="false" outlineLevel="0" collapsed="false">
      <c r="A5" s="2" t="s">
        <v>132</v>
      </c>
      <c r="B5" s="17" t="n">
        <f aca="false">Assumptions!$D$34*IF(B3=1,Assumptions!$D$66,1)</f>
        <v>50</v>
      </c>
      <c r="C5" s="17" t="n">
        <f aca="false">Assumptions!$D$34*IF(C3=1,Assumptions!$D$66,1)</f>
        <v>50</v>
      </c>
      <c r="D5" s="17" t="n">
        <f aca="false">Assumptions!$D$34*IF(D3=1,Assumptions!$D$66,1)</f>
        <v>50</v>
      </c>
      <c r="E5" s="17" t="n">
        <f aca="false">Assumptions!$D$34*IF(E3=1,Assumptions!$D$66,1)</f>
        <v>50</v>
      </c>
      <c r="F5" s="17" t="n">
        <f aca="false">Assumptions!$D$34*IF(F3=1,Assumptions!$D$66,1)</f>
        <v>50</v>
      </c>
      <c r="G5" s="17" t="n">
        <f aca="false">Assumptions!$D$34*IF(G3=1,Assumptions!$D$66,1)</f>
        <v>50</v>
      </c>
      <c r="H5" s="17" t="n">
        <f aca="false">Assumptions!$D$34*IF(H3=1,Assumptions!$D$66,1)</f>
        <v>50</v>
      </c>
      <c r="I5" s="17" t="n">
        <f aca="false">Assumptions!$D$34*IF(I3=1,Assumptions!$D$66,1)</f>
        <v>50</v>
      </c>
      <c r="J5" s="17" t="n">
        <f aca="false">Assumptions!$D$34*IF(J3=1,Assumptions!$D$66,1)</f>
        <v>50</v>
      </c>
      <c r="K5" s="17" t="n">
        <f aca="false">Assumptions!$D$34*IF(K3=1,Assumptions!$D$66,1)</f>
        <v>50</v>
      </c>
      <c r="L5" s="17" t="n">
        <f aca="false">Assumptions!$D$34*IF(L3=1,Assumptions!$D$66,1)</f>
        <v>50</v>
      </c>
      <c r="M5" s="17" t="n">
        <f aca="false">Assumptions!$D$34*IF(M3=1,Assumptions!$D$66,1)</f>
        <v>50</v>
      </c>
      <c r="N5" s="17" t="n">
        <f aca="false">Assumptions!$D$34*IF(N3=1,Assumptions!$D$66,1)</f>
        <v>50</v>
      </c>
      <c r="O5" s="17" t="n">
        <f aca="false">Assumptions!$D$34*IF(O3=1,Assumptions!$D$66,1)</f>
        <v>50</v>
      </c>
      <c r="P5" s="17" t="n">
        <f aca="false">Assumptions!$D$34*IF(P3=1,Assumptions!$D$66,1)</f>
        <v>50</v>
      </c>
      <c r="Q5" s="17" t="n">
        <f aca="false">Assumptions!$D$34*IF(Q3=1,Assumptions!$D$66,1)</f>
        <v>42.5</v>
      </c>
      <c r="R5" s="17" t="n">
        <f aca="false">Assumptions!$D$34*IF(R3=1,Assumptions!$D$66,1)</f>
        <v>42.5</v>
      </c>
      <c r="S5" s="17" t="n">
        <f aca="false">Assumptions!$D$34*IF(S3=1,Assumptions!$D$66,1)</f>
        <v>42.5</v>
      </c>
      <c r="T5" s="17" t="n">
        <f aca="false">Assumptions!$D$34*IF(T3=1,Assumptions!$D$66,1)</f>
        <v>42.5</v>
      </c>
      <c r="U5" s="17" t="n">
        <f aca="false">Assumptions!$D$34*IF(U3=1,Assumptions!$D$66,1)</f>
        <v>42.5</v>
      </c>
      <c r="V5" s="17" t="n">
        <f aca="false">Assumptions!$D$34*IF(V3=1,Assumptions!$D$66,1)</f>
        <v>42.5</v>
      </c>
      <c r="W5" s="17" t="n">
        <f aca="false">Assumptions!$D$34*IF(W3=1,Assumptions!$D$66,1)</f>
        <v>42.5</v>
      </c>
      <c r="X5" s="17" t="n">
        <f aca="false">Assumptions!$D$34*IF(X3=1,Assumptions!$D$66,1)</f>
        <v>42.5</v>
      </c>
      <c r="Y5" s="17" t="n">
        <f aca="false">Assumptions!$D$34*IF(Y3=1,Assumptions!$D$66,1)</f>
        <v>42.5</v>
      </c>
      <c r="Z5" s="17" t="n">
        <f aca="false">Assumptions!$D$34*IF(Z3=1,Assumptions!$D$66,1)</f>
        <v>42.5</v>
      </c>
      <c r="AA5" s="17" t="n">
        <f aca="false">Assumptions!$D$34*IF(AA3=1,Assumptions!$D$66,1)</f>
        <v>42.5</v>
      </c>
      <c r="AB5" s="17" t="n">
        <f aca="false">Assumptions!$D$34*IF(AB3=1,Assumptions!$D$66,1)</f>
        <v>42.5</v>
      </c>
      <c r="AC5" s="17" t="n">
        <f aca="false">Assumptions!$D$34*IF(AC3=1,Assumptions!$D$66,1)</f>
        <v>42.5</v>
      </c>
      <c r="AD5" s="17" t="n">
        <f aca="false">Assumptions!$D$34*IF(AD3=1,Assumptions!$D$66,1)</f>
        <v>42.5</v>
      </c>
      <c r="AE5" s="17" t="n">
        <f aca="false">Assumptions!$D$34*IF(AE3=1,Assumptions!$D$66,1)</f>
        <v>42.5</v>
      </c>
      <c r="AF5" s="17" t="n">
        <f aca="false">Assumptions!$D$34*IF(AF3=1,Assumptions!$D$66,1)</f>
        <v>42.5</v>
      </c>
      <c r="AG5" s="17" t="n">
        <f aca="false">Assumptions!$D$34*IF(AG3=1,Assumptions!$D$66,1)</f>
        <v>42.5</v>
      </c>
      <c r="AH5" s="17" t="n">
        <f aca="false">Assumptions!$D$34*IF(AH3=1,Assumptions!$D$66,1)</f>
        <v>42.5</v>
      </c>
      <c r="AI5" s="17" t="n">
        <f aca="false">Assumptions!$D$34*IF(AI3=1,Assumptions!$D$66,1)</f>
        <v>42.5</v>
      </c>
      <c r="AJ5" s="17" t="n">
        <f aca="false">Assumptions!$D$34*IF(AJ3=1,Assumptions!$D$66,1)</f>
        <v>42.5</v>
      </c>
      <c r="AK5" s="17" t="n">
        <f aca="false">Assumptions!$D$34*IF(AK3=1,Assumptions!$D$66,1)</f>
        <v>42.5</v>
      </c>
    </row>
    <row r="6" customFormat="false" ht="15" hidden="false" customHeight="false" outlineLevel="0" collapsed="false">
      <c r="A6" s="2" t="s">
        <v>133</v>
      </c>
      <c r="B6" s="18" t="n">
        <f aca="false">IF(B1&lt;3,Assumptions!$D$38/3,CHOOSE(B2,Assumptions!$D$39,Assumptions!$D$40,Assumptions!$D$41))</f>
        <v>300000</v>
      </c>
      <c r="C6" s="18" t="n">
        <f aca="false">IF(C1&lt;3,Assumptions!$D$38/3,CHOOSE(C2,Assumptions!$D$39,Assumptions!$D$40,Assumptions!$D$41))</f>
        <v>300000</v>
      </c>
      <c r="D6" s="18" t="n">
        <f aca="false">IF(D1&lt;3,Assumptions!$D$38/3,CHOOSE(D2,Assumptions!$D$39,Assumptions!$D$40,Assumptions!$D$41))</f>
        <v>300000</v>
      </c>
      <c r="E6" s="18" t="n">
        <f aca="false">IF(E1&lt;3,Assumptions!$D$38/3,CHOOSE(E2,Assumptions!$D$39,Assumptions!$D$40,Assumptions!$D$41))</f>
        <v>55000</v>
      </c>
      <c r="F6" s="18" t="n">
        <f aca="false">IF(F1&lt;3,Assumptions!$D$38/3,CHOOSE(F2,Assumptions!$D$39,Assumptions!$D$40,Assumptions!$D$41))</f>
        <v>55000</v>
      </c>
      <c r="G6" s="18" t="n">
        <f aca="false">IF(G1&lt;3,Assumptions!$D$38/3,CHOOSE(G2,Assumptions!$D$39,Assumptions!$D$40,Assumptions!$D$41))</f>
        <v>55000</v>
      </c>
      <c r="H6" s="18" t="n">
        <f aca="false">IF(H1&lt;3,Assumptions!$D$38/3,CHOOSE(H2,Assumptions!$D$39,Assumptions!$D$40,Assumptions!$D$41))</f>
        <v>55000</v>
      </c>
      <c r="I6" s="18" t="n">
        <f aca="false">IF(I1&lt;3,Assumptions!$D$38/3,CHOOSE(I2,Assumptions!$D$39,Assumptions!$D$40,Assumptions!$D$41))</f>
        <v>55000</v>
      </c>
      <c r="J6" s="18" t="n">
        <f aca="false">IF(J1&lt;3,Assumptions!$D$38/3,CHOOSE(J2,Assumptions!$D$39,Assumptions!$D$40,Assumptions!$D$41))</f>
        <v>55000</v>
      </c>
      <c r="K6" s="18" t="n">
        <f aca="false">IF(K1&lt;3,Assumptions!$D$38/3,CHOOSE(K2,Assumptions!$D$39,Assumptions!$D$40,Assumptions!$D$41))</f>
        <v>55000</v>
      </c>
      <c r="L6" s="18" t="n">
        <f aca="false">IF(L1&lt;3,Assumptions!$D$38/3,CHOOSE(L2,Assumptions!$D$39,Assumptions!$D$40,Assumptions!$D$41))</f>
        <v>55000</v>
      </c>
      <c r="M6" s="18" t="n">
        <f aca="false">IF(M1&lt;3,Assumptions!$D$38/3,CHOOSE(M2,Assumptions!$D$39,Assumptions!$D$40,Assumptions!$D$41))</f>
        <v>55000</v>
      </c>
      <c r="N6" s="18" t="n">
        <f aca="false">IF(N1&lt;3,Assumptions!$D$38/3,CHOOSE(N2,Assumptions!$D$39,Assumptions!$D$40,Assumptions!$D$41))</f>
        <v>45000</v>
      </c>
      <c r="O6" s="18" t="n">
        <f aca="false">IF(O1&lt;3,Assumptions!$D$38/3,CHOOSE(O2,Assumptions!$D$39,Assumptions!$D$40,Assumptions!$D$41))</f>
        <v>45000</v>
      </c>
      <c r="P6" s="18" t="n">
        <f aca="false">IF(P1&lt;3,Assumptions!$D$38/3,CHOOSE(P2,Assumptions!$D$39,Assumptions!$D$40,Assumptions!$D$41))</f>
        <v>45000</v>
      </c>
      <c r="Q6" s="18" t="n">
        <f aca="false">IF(Q1&lt;3,Assumptions!$D$38/3,CHOOSE(Q2,Assumptions!$D$39,Assumptions!$D$40,Assumptions!$D$41))</f>
        <v>45000</v>
      </c>
      <c r="R6" s="18" t="n">
        <f aca="false">IF(R1&lt;3,Assumptions!$D$38/3,CHOOSE(R2,Assumptions!$D$39,Assumptions!$D$40,Assumptions!$D$41))</f>
        <v>45000</v>
      </c>
      <c r="S6" s="18" t="n">
        <f aca="false">IF(S1&lt;3,Assumptions!$D$38/3,CHOOSE(S2,Assumptions!$D$39,Assumptions!$D$40,Assumptions!$D$41))</f>
        <v>45000</v>
      </c>
      <c r="T6" s="18" t="n">
        <f aca="false">IF(T1&lt;3,Assumptions!$D$38/3,CHOOSE(T2,Assumptions!$D$39,Assumptions!$D$40,Assumptions!$D$41))</f>
        <v>45000</v>
      </c>
      <c r="U6" s="18" t="n">
        <f aca="false">IF(U1&lt;3,Assumptions!$D$38/3,CHOOSE(U2,Assumptions!$D$39,Assumptions!$D$40,Assumptions!$D$41))</f>
        <v>45000</v>
      </c>
      <c r="V6" s="18" t="n">
        <f aca="false">IF(V1&lt;3,Assumptions!$D$38/3,CHOOSE(V2,Assumptions!$D$39,Assumptions!$D$40,Assumptions!$D$41))</f>
        <v>45000</v>
      </c>
      <c r="W6" s="18" t="n">
        <f aca="false">IF(W1&lt;3,Assumptions!$D$38/3,CHOOSE(W2,Assumptions!$D$39,Assumptions!$D$40,Assumptions!$D$41))</f>
        <v>45000</v>
      </c>
      <c r="X6" s="18" t="n">
        <f aca="false">IF(X1&lt;3,Assumptions!$D$38/3,CHOOSE(X2,Assumptions!$D$39,Assumptions!$D$40,Assumptions!$D$41))</f>
        <v>45000</v>
      </c>
      <c r="Y6" s="18" t="n">
        <f aca="false">IF(Y1&lt;3,Assumptions!$D$38/3,CHOOSE(Y2,Assumptions!$D$39,Assumptions!$D$40,Assumptions!$D$41))</f>
        <v>45000</v>
      </c>
      <c r="Z6" s="18" t="n">
        <f aca="false">IF(Z1&lt;3,Assumptions!$D$38/3,CHOOSE(Z2,Assumptions!$D$39,Assumptions!$D$40,Assumptions!$D$41))</f>
        <v>40000</v>
      </c>
      <c r="AA6" s="18" t="n">
        <f aca="false">IF(AA1&lt;3,Assumptions!$D$38/3,CHOOSE(AA2,Assumptions!$D$39,Assumptions!$D$40,Assumptions!$D$41))</f>
        <v>40000</v>
      </c>
      <c r="AB6" s="18" t="n">
        <f aca="false">IF(AB1&lt;3,Assumptions!$D$38/3,CHOOSE(AB2,Assumptions!$D$39,Assumptions!$D$40,Assumptions!$D$41))</f>
        <v>40000</v>
      </c>
      <c r="AC6" s="18" t="n">
        <f aca="false">IF(AC1&lt;3,Assumptions!$D$38/3,CHOOSE(AC2,Assumptions!$D$39,Assumptions!$D$40,Assumptions!$D$41))</f>
        <v>40000</v>
      </c>
      <c r="AD6" s="18" t="n">
        <f aca="false">IF(AD1&lt;3,Assumptions!$D$38/3,CHOOSE(AD2,Assumptions!$D$39,Assumptions!$D$40,Assumptions!$D$41))</f>
        <v>40000</v>
      </c>
      <c r="AE6" s="18" t="n">
        <f aca="false">IF(AE1&lt;3,Assumptions!$D$38/3,CHOOSE(AE2,Assumptions!$D$39,Assumptions!$D$40,Assumptions!$D$41))</f>
        <v>40000</v>
      </c>
      <c r="AF6" s="18" t="n">
        <f aca="false">IF(AF1&lt;3,Assumptions!$D$38/3,CHOOSE(AF2,Assumptions!$D$39,Assumptions!$D$40,Assumptions!$D$41))</f>
        <v>40000</v>
      </c>
      <c r="AG6" s="18" t="n">
        <f aca="false">IF(AG1&lt;3,Assumptions!$D$38/3,CHOOSE(AG2,Assumptions!$D$39,Assumptions!$D$40,Assumptions!$D$41))</f>
        <v>40000</v>
      </c>
      <c r="AH6" s="18" t="n">
        <f aca="false">IF(AH1&lt;3,Assumptions!$D$38/3,CHOOSE(AH2,Assumptions!$D$39,Assumptions!$D$40,Assumptions!$D$41))</f>
        <v>40000</v>
      </c>
      <c r="AI6" s="18" t="n">
        <f aca="false">IF(AI1&lt;3,Assumptions!$D$38/3,CHOOSE(AI2,Assumptions!$D$39,Assumptions!$D$40,Assumptions!$D$41))</f>
        <v>40000</v>
      </c>
      <c r="AJ6" s="18" t="n">
        <f aca="false">IF(AJ1&lt;3,Assumptions!$D$38/3,CHOOSE(AJ2,Assumptions!$D$39,Assumptions!$D$40,Assumptions!$D$41))</f>
        <v>40000</v>
      </c>
      <c r="AK6" s="18" t="n">
        <f aca="false">IF(AK1&lt;3,Assumptions!$D$38/3,CHOOSE(AK2,Assumptions!$D$39,Assumptions!$D$40,Assumptions!$D$41))</f>
        <v>40000</v>
      </c>
    </row>
    <row r="7" customFormat="false" ht="15" hidden="false" customHeight="false" outlineLevel="0" collapsed="false">
      <c r="A7" s="2" t="s">
        <v>134</v>
      </c>
      <c r="B7" s="15" t="n">
        <f aca="false">B6/Assumptions!$D$26*CHOOSE(B2,Assumptions!$D$27,Assumptions!$D$28,Assumptions!$D$29)*B4</f>
        <v>625000</v>
      </c>
      <c r="C7" s="15" t="n">
        <f aca="false">C6/Assumptions!$D$26*CHOOSE(C2,Assumptions!$D$27,Assumptions!$D$28,Assumptions!$D$29)*C4</f>
        <v>625000</v>
      </c>
      <c r="D7" s="15" t="n">
        <f aca="false">D6/Assumptions!$D$26*CHOOSE(D2,Assumptions!$D$27,Assumptions!$D$28,Assumptions!$D$29)*D4</f>
        <v>625000</v>
      </c>
      <c r="E7" s="15" t="n">
        <f aca="false">E6/Assumptions!$D$26*CHOOSE(E2,Assumptions!$D$27,Assumptions!$D$28,Assumptions!$D$29)*E4</f>
        <v>114583.333333333</v>
      </c>
      <c r="F7" s="15" t="n">
        <f aca="false">F6/Assumptions!$D$26*CHOOSE(F2,Assumptions!$D$27,Assumptions!$D$28,Assumptions!$D$29)*F4</f>
        <v>114583.333333333</v>
      </c>
      <c r="G7" s="15" t="n">
        <f aca="false">G6/Assumptions!$D$26*CHOOSE(G2,Assumptions!$D$27,Assumptions!$D$28,Assumptions!$D$29)*G4</f>
        <v>114583.333333333</v>
      </c>
      <c r="H7" s="15" t="n">
        <f aca="false">H6/Assumptions!$D$26*CHOOSE(H2,Assumptions!$D$27,Assumptions!$D$28,Assumptions!$D$29)*H4</f>
        <v>114583.333333333</v>
      </c>
      <c r="I7" s="15" t="n">
        <f aca="false">I6/Assumptions!$D$26*CHOOSE(I2,Assumptions!$D$27,Assumptions!$D$28,Assumptions!$D$29)*I4</f>
        <v>114583.333333333</v>
      </c>
      <c r="J7" s="15" t="n">
        <f aca="false">J6/Assumptions!$D$26*CHOOSE(J2,Assumptions!$D$27,Assumptions!$D$28,Assumptions!$D$29)*J4</f>
        <v>114583.333333333</v>
      </c>
      <c r="K7" s="15" t="n">
        <f aca="false">K6/Assumptions!$D$26*CHOOSE(K2,Assumptions!$D$27,Assumptions!$D$28,Assumptions!$D$29)*K4</f>
        <v>114583.333333333</v>
      </c>
      <c r="L7" s="15" t="n">
        <f aca="false">L6/Assumptions!$D$26*CHOOSE(L2,Assumptions!$D$27,Assumptions!$D$28,Assumptions!$D$29)*L4</f>
        <v>114583.333333333</v>
      </c>
      <c r="M7" s="15" t="n">
        <f aca="false">M6/Assumptions!$D$26*CHOOSE(M2,Assumptions!$D$27,Assumptions!$D$28,Assumptions!$D$29)*M4</f>
        <v>114583.333333333</v>
      </c>
      <c r="N7" s="15" t="n">
        <f aca="false">N6/Assumptions!$D$26*CHOOSE(N2,Assumptions!$D$27,Assumptions!$D$28,Assumptions!$D$29)*N4</f>
        <v>67500</v>
      </c>
      <c r="O7" s="15" t="n">
        <f aca="false">O6/Assumptions!$D$26*CHOOSE(O2,Assumptions!$D$27,Assumptions!$D$28,Assumptions!$D$29)*O4</f>
        <v>67500</v>
      </c>
      <c r="P7" s="15" t="n">
        <f aca="false">P6/Assumptions!$D$26*CHOOSE(P2,Assumptions!$D$27,Assumptions!$D$28,Assumptions!$D$29)*P4</f>
        <v>67500</v>
      </c>
      <c r="Q7" s="15" t="n">
        <f aca="false">Q6/Assumptions!$D$26*CHOOSE(Q2,Assumptions!$D$27,Assumptions!$D$28,Assumptions!$D$29)*Q4</f>
        <v>50625</v>
      </c>
      <c r="R7" s="15" t="n">
        <f aca="false">R6/Assumptions!$D$26*CHOOSE(R2,Assumptions!$D$27,Assumptions!$D$28,Assumptions!$D$29)*R4</f>
        <v>50625</v>
      </c>
      <c r="S7" s="15" t="n">
        <f aca="false">S6/Assumptions!$D$26*CHOOSE(S2,Assumptions!$D$27,Assumptions!$D$28,Assumptions!$D$29)*S4</f>
        <v>50625</v>
      </c>
      <c r="T7" s="15" t="n">
        <f aca="false">T6/Assumptions!$D$26*CHOOSE(T2,Assumptions!$D$27,Assumptions!$D$28,Assumptions!$D$29)*T4</f>
        <v>50625</v>
      </c>
      <c r="U7" s="15" t="n">
        <f aca="false">U6/Assumptions!$D$26*CHOOSE(U2,Assumptions!$D$27,Assumptions!$D$28,Assumptions!$D$29)*U4</f>
        <v>50625</v>
      </c>
      <c r="V7" s="15" t="n">
        <f aca="false">V6/Assumptions!$D$26*CHOOSE(V2,Assumptions!$D$27,Assumptions!$D$28,Assumptions!$D$29)*V4</f>
        <v>50625</v>
      </c>
      <c r="W7" s="15" t="n">
        <f aca="false">W6/Assumptions!$D$26*CHOOSE(W2,Assumptions!$D$27,Assumptions!$D$28,Assumptions!$D$29)*W4</f>
        <v>50625</v>
      </c>
      <c r="X7" s="15" t="n">
        <f aca="false">X6/Assumptions!$D$26*CHOOSE(X2,Assumptions!$D$27,Assumptions!$D$28,Assumptions!$D$29)*X4</f>
        <v>50625</v>
      </c>
      <c r="Y7" s="15" t="n">
        <f aca="false">Y6/Assumptions!$D$26*CHOOSE(Y2,Assumptions!$D$27,Assumptions!$D$28,Assumptions!$D$29)*Y4</f>
        <v>50625</v>
      </c>
      <c r="Z7" s="15" t="n">
        <f aca="false">Z6/Assumptions!$D$26*CHOOSE(Z2,Assumptions!$D$27,Assumptions!$D$28,Assumptions!$D$29)*Z4</f>
        <v>37500</v>
      </c>
      <c r="AA7" s="15" t="n">
        <f aca="false">AA6/Assumptions!$D$26*CHOOSE(AA2,Assumptions!$D$27,Assumptions!$D$28,Assumptions!$D$29)*AA4</f>
        <v>37500</v>
      </c>
      <c r="AB7" s="15" t="n">
        <f aca="false">AB6/Assumptions!$D$26*CHOOSE(AB2,Assumptions!$D$27,Assumptions!$D$28,Assumptions!$D$29)*AB4</f>
        <v>37500</v>
      </c>
      <c r="AC7" s="15" t="n">
        <f aca="false">AC6/Assumptions!$D$26*CHOOSE(AC2,Assumptions!$D$27,Assumptions!$D$28,Assumptions!$D$29)*AC4</f>
        <v>37500</v>
      </c>
      <c r="AD7" s="15" t="n">
        <f aca="false">AD6/Assumptions!$D$26*CHOOSE(AD2,Assumptions!$D$27,Assumptions!$D$28,Assumptions!$D$29)*AD4</f>
        <v>37500</v>
      </c>
      <c r="AE7" s="15" t="n">
        <f aca="false">AE6/Assumptions!$D$26*CHOOSE(AE2,Assumptions!$D$27,Assumptions!$D$28,Assumptions!$D$29)*AE4</f>
        <v>37500</v>
      </c>
      <c r="AF7" s="15" t="n">
        <f aca="false">AF6/Assumptions!$D$26*CHOOSE(AF2,Assumptions!$D$27,Assumptions!$D$28,Assumptions!$D$29)*AF4</f>
        <v>37500</v>
      </c>
      <c r="AG7" s="15" t="n">
        <f aca="false">AG6/Assumptions!$D$26*CHOOSE(AG2,Assumptions!$D$27,Assumptions!$D$28,Assumptions!$D$29)*AG4</f>
        <v>37500</v>
      </c>
      <c r="AH7" s="15" t="n">
        <f aca="false">AH6/Assumptions!$D$26*CHOOSE(AH2,Assumptions!$D$27,Assumptions!$D$28,Assumptions!$D$29)*AH4</f>
        <v>37500</v>
      </c>
      <c r="AI7" s="15" t="n">
        <f aca="false">AI6/Assumptions!$D$26*CHOOSE(AI2,Assumptions!$D$27,Assumptions!$D$28,Assumptions!$D$29)*AI4</f>
        <v>37500</v>
      </c>
      <c r="AJ7" s="15" t="n">
        <f aca="false">AJ6/Assumptions!$D$26*CHOOSE(AJ2,Assumptions!$D$27,Assumptions!$D$28,Assumptions!$D$29)*AJ4</f>
        <v>37500</v>
      </c>
      <c r="AK7" s="15" t="n">
        <f aca="false">AK6/Assumptions!$D$26*CHOOSE(AK2,Assumptions!$D$27,Assumptions!$D$28,Assumptions!$D$29)*AK4</f>
        <v>37500</v>
      </c>
    </row>
    <row r="8" customFormat="false" ht="15" hidden="false" customHeight="false" outlineLevel="0" collapsed="false">
      <c r="A8" s="2" t="s">
        <v>135</v>
      </c>
      <c r="B8" s="15" t="n">
        <f aca="false">B7*Assumptions!$D$30</f>
        <v>237500</v>
      </c>
      <c r="C8" s="15" t="n">
        <f aca="false">C7*Assumptions!$D$30</f>
        <v>237500</v>
      </c>
      <c r="D8" s="15" t="n">
        <f aca="false">D7*Assumptions!$D$30</f>
        <v>237500</v>
      </c>
      <c r="E8" s="15" t="n">
        <f aca="false">E7*Assumptions!$D$30</f>
        <v>43541.6666666667</v>
      </c>
      <c r="F8" s="15" t="n">
        <f aca="false">F7*Assumptions!$D$30</f>
        <v>43541.6666666667</v>
      </c>
      <c r="G8" s="15" t="n">
        <f aca="false">G7*Assumptions!$D$30</f>
        <v>43541.6666666667</v>
      </c>
      <c r="H8" s="15" t="n">
        <f aca="false">H7*Assumptions!$D$30</f>
        <v>43541.6666666667</v>
      </c>
      <c r="I8" s="15" t="n">
        <f aca="false">I7*Assumptions!$D$30</f>
        <v>43541.6666666667</v>
      </c>
      <c r="J8" s="15" t="n">
        <f aca="false">J7*Assumptions!$D$30</f>
        <v>43541.6666666667</v>
      </c>
      <c r="K8" s="15" t="n">
        <f aca="false">K7*Assumptions!$D$30</f>
        <v>43541.6666666667</v>
      </c>
      <c r="L8" s="15" t="n">
        <f aca="false">L7*Assumptions!$D$30</f>
        <v>43541.6666666667</v>
      </c>
      <c r="M8" s="15" t="n">
        <f aca="false">M7*Assumptions!$D$30</f>
        <v>43541.6666666667</v>
      </c>
      <c r="N8" s="15" t="n">
        <f aca="false">N7*Assumptions!$D$30</f>
        <v>25650</v>
      </c>
      <c r="O8" s="15" t="n">
        <f aca="false">O7*Assumptions!$D$30</f>
        <v>25650</v>
      </c>
      <c r="P8" s="15" t="n">
        <f aca="false">P7*Assumptions!$D$30</f>
        <v>25650</v>
      </c>
      <c r="Q8" s="15" t="n">
        <f aca="false">Q7*Assumptions!$D$30</f>
        <v>19237.5</v>
      </c>
      <c r="R8" s="15" t="n">
        <f aca="false">R7*Assumptions!$D$30</f>
        <v>19237.5</v>
      </c>
      <c r="S8" s="15" t="n">
        <f aca="false">S7*Assumptions!$D$30</f>
        <v>19237.5</v>
      </c>
      <c r="T8" s="15" t="n">
        <f aca="false">T7*Assumptions!$D$30</f>
        <v>19237.5</v>
      </c>
      <c r="U8" s="15" t="n">
        <f aca="false">U7*Assumptions!$D$30</f>
        <v>19237.5</v>
      </c>
      <c r="V8" s="15" t="n">
        <f aca="false">V7*Assumptions!$D$30</f>
        <v>19237.5</v>
      </c>
      <c r="W8" s="15" t="n">
        <f aca="false">W7*Assumptions!$D$30</f>
        <v>19237.5</v>
      </c>
      <c r="X8" s="15" t="n">
        <f aca="false">X7*Assumptions!$D$30</f>
        <v>19237.5</v>
      </c>
      <c r="Y8" s="15" t="n">
        <f aca="false">Y7*Assumptions!$D$30</f>
        <v>19237.5</v>
      </c>
      <c r="Z8" s="15" t="n">
        <f aca="false">Z7*Assumptions!$D$30</f>
        <v>14250</v>
      </c>
      <c r="AA8" s="15" t="n">
        <f aca="false">AA7*Assumptions!$D$30</f>
        <v>14250</v>
      </c>
      <c r="AB8" s="15" t="n">
        <f aca="false">AB7*Assumptions!$D$30</f>
        <v>14250</v>
      </c>
      <c r="AC8" s="15" t="n">
        <f aca="false">AC7*Assumptions!$D$30</f>
        <v>14250</v>
      </c>
      <c r="AD8" s="15" t="n">
        <f aca="false">AD7*Assumptions!$D$30</f>
        <v>14250</v>
      </c>
      <c r="AE8" s="15" t="n">
        <f aca="false">AE7*Assumptions!$D$30</f>
        <v>14250</v>
      </c>
      <c r="AF8" s="15" t="n">
        <f aca="false">AF7*Assumptions!$D$30</f>
        <v>14250</v>
      </c>
      <c r="AG8" s="15" t="n">
        <f aca="false">AG7*Assumptions!$D$30</f>
        <v>14250</v>
      </c>
      <c r="AH8" s="15" t="n">
        <f aca="false">AH7*Assumptions!$D$30</f>
        <v>14250</v>
      </c>
      <c r="AI8" s="15" t="n">
        <f aca="false">AI7*Assumptions!$D$30</f>
        <v>14250</v>
      </c>
      <c r="AJ8" s="15" t="n">
        <f aca="false">AJ7*Assumptions!$D$30</f>
        <v>14250</v>
      </c>
      <c r="AK8" s="15" t="n">
        <f aca="false">AK7*Assumptions!$D$30</f>
        <v>14250</v>
      </c>
    </row>
    <row r="9" customFormat="false" ht="15" hidden="false" customHeight="false" outlineLevel="0" collapsed="false">
      <c r="A9" s="2" t="s">
        <v>136</v>
      </c>
      <c r="B9" s="15" t="n">
        <f aca="false">B8/Assumptions!$B$6</f>
        <v>67857.1428571429</v>
      </c>
      <c r="C9" s="15" t="n">
        <f aca="false">C8/Assumptions!$B$6</f>
        <v>67857.1428571429</v>
      </c>
      <c r="D9" s="15" t="n">
        <f aca="false">D8/Assumptions!$B$6</f>
        <v>67857.1428571429</v>
      </c>
      <c r="E9" s="15" t="n">
        <f aca="false">E8/Assumptions!$B$6</f>
        <v>12440.4761904762</v>
      </c>
      <c r="F9" s="15" t="n">
        <f aca="false">F8/Assumptions!$B$6</f>
        <v>12440.4761904762</v>
      </c>
      <c r="G9" s="15" t="n">
        <f aca="false">G8/Assumptions!$B$6</f>
        <v>12440.4761904762</v>
      </c>
      <c r="H9" s="15" t="n">
        <f aca="false">H8/Assumptions!$B$6</f>
        <v>12440.4761904762</v>
      </c>
      <c r="I9" s="15" t="n">
        <f aca="false">I8/Assumptions!$B$6</f>
        <v>12440.4761904762</v>
      </c>
      <c r="J9" s="15" t="n">
        <f aca="false">J8/Assumptions!$B$6</f>
        <v>12440.4761904762</v>
      </c>
      <c r="K9" s="15" t="n">
        <f aca="false">K8/Assumptions!$B$6</f>
        <v>12440.4761904762</v>
      </c>
      <c r="L9" s="15" t="n">
        <f aca="false">L8/Assumptions!$B$6</f>
        <v>12440.4761904762</v>
      </c>
      <c r="M9" s="15" t="n">
        <f aca="false">M8/Assumptions!$B$6</f>
        <v>12440.4761904762</v>
      </c>
      <c r="N9" s="15" t="n">
        <f aca="false">N8/Assumptions!$B$6</f>
        <v>7328.57142857143</v>
      </c>
      <c r="O9" s="15" t="n">
        <f aca="false">O8/Assumptions!$B$6</f>
        <v>7328.57142857143</v>
      </c>
      <c r="P9" s="15" t="n">
        <f aca="false">P8/Assumptions!$B$6</f>
        <v>7328.57142857143</v>
      </c>
      <c r="Q9" s="15" t="n">
        <f aca="false">Q8/Assumptions!$B$6</f>
        <v>5496.42857142857</v>
      </c>
      <c r="R9" s="15" t="n">
        <f aca="false">R8/Assumptions!$B$6</f>
        <v>5496.42857142857</v>
      </c>
      <c r="S9" s="15" t="n">
        <f aca="false">S8/Assumptions!$B$6</f>
        <v>5496.42857142857</v>
      </c>
      <c r="T9" s="15" t="n">
        <f aca="false">T8/Assumptions!$B$6</f>
        <v>5496.42857142857</v>
      </c>
      <c r="U9" s="15" t="n">
        <f aca="false">U8/Assumptions!$B$6</f>
        <v>5496.42857142857</v>
      </c>
      <c r="V9" s="15" t="n">
        <f aca="false">V8/Assumptions!$B$6</f>
        <v>5496.42857142857</v>
      </c>
      <c r="W9" s="15" t="n">
        <f aca="false">W8/Assumptions!$B$6</f>
        <v>5496.42857142857</v>
      </c>
      <c r="X9" s="15" t="n">
        <f aca="false">X8/Assumptions!$B$6</f>
        <v>5496.42857142857</v>
      </c>
      <c r="Y9" s="15" t="n">
        <f aca="false">Y8/Assumptions!$B$6</f>
        <v>5496.42857142857</v>
      </c>
      <c r="Z9" s="15" t="n">
        <f aca="false">Z8/Assumptions!$B$6</f>
        <v>4071.42857142857</v>
      </c>
      <c r="AA9" s="15" t="n">
        <f aca="false">AA8/Assumptions!$B$6</f>
        <v>4071.42857142857</v>
      </c>
      <c r="AB9" s="15" t="n">
        <f aca="false">AB8/Assumptions!$B$6</f>
        <v>4071.42857142857</v>
      </c>
      <c r="AC9" s="15" t="n">
        <f aca="false">AC8/Assumptions!$B$6</f>
        <v>4071.42857142857</v>
      </c>
      <c r="AD9" s="15" t="n">
        <f aca="false">AD8/Assumptions!$B$6</f>
        <v>4071.42857142857</v>
      </c>
      <c r="AE9" s="15" t="n">
        <f aca="false">AE8/Assumptions!$B$6</f>
        <v>4071.42857142857</v>
      </c>
      <c r="AF9" s="15" t="n">
        <f aca="false">AF8/Assumptions!$B$6</f>
        <v>4071.42857142857</v>
      </c>
      <c r="AG9" s="15" t="n">
        <f aca="false">AG8/Assumptions!$B$6</f>
        <v>4071.42857142857</v>
      </c>
      <c r="AH9" s="15" t="n">
        <f aca="false">AH8/Assumptions!$B$6</f>
        <v>4071.42857142857</v>
      </c>
      <c r="AI9" s="15" t="n">
        <f aca="false">AI8/Assumptions!$B$6</f>
        <v>4071.42857142857</v>
      </c>
      <c r="AJ9" s="15" t="n">
        <f aca="false">AJ8/Assumptions!$B$6</f>
        <v>4071.42857142857</v>
      </c>
      <c r="AK9" s="15" t="n">
        <f aca="false">AK8/Assumptions!$B$6</f>
        <v>4071.42857142857</v>
      </c>
    </row>
    <row r="10" customFormat="false" ht="15" hidden="false" customHeight="false" outlineLevel="0" collapsed="false">
      <c r="A10" s="2" t="s">
        <v>137</v>
      </c>
      <c r="B10" s="15" t="n">
        <f aca="false">B9</f>
        <v>67857.1428571429</v>
      </c>
      <c r="C10" s="15" t="n">
        <f aca="false">IF(C1&lt;Assumptions!$B$7,B10+C9,IF(C1&lt;=Assumptions!$B$7+1,B10*2/3,0))</f>
        <v>135714.285714286</v>
      </c>
      <c r="D10" s="15" t="n">
        <f aca="false">IF(D1&lt;Assumptions!$B$7,C10+D9,IF(D1&lt;=Assumptions!$B$7+1,C10*2/3,0))</f>
        <v>203571.428571429</v>
      </c>
      <c r="E10" s="15" t="n">
        <f aca="false">IF(E1&lt;Assumptions!$B$7,D10+E9,IF(E1&lt;=Assumptions!$B$7+1,D10*2/3,0))</f>
        <v>216011.904761905</v>
      </c>
      <c r="F10" s="15" t="n">
        <f aca="false">IF(F1&lt;Assumptions!$B$7,E10+F9,IF(F1&lt;=Assumptions!$B$7+1,E10*2/3,0))</f>
        <v>228452.380952381</v>
      </c>
      <c r="G10" s="15" t="n">
        <f aca="false">IF(G1&lt;Assumptions!$B$7,F10+G9,IF(G1&lt;=Assumptions!$B$7+1,F10*2/3,0))</f>
        <v>240892.857142857</v>
      </c>
      <c r="H10" s="15" t="n">
        <f aca="false">IF(H1&lt;Assumptions!$B$7,G10+H9,IF(H1&lt;=Assumptions!$B$7+1,G10*2/3,0))</f>
        <v>253333.333333333</v>
      </c>
      <c r="I10" s="15" t="n">
        <f aca="false">IF(I1&lt;Assumptions!$B$7,H10+I9,IF(I1&lt;=Assumptions!$B$7+1,H10*2/3,0))</f>
        <v>265773.80952381</v>
      </c>
      <c r="J10" s="15" t="n">
        <f aca="false">IF(J1&lt;Assumptions!$B$7,I10+J9,IF(J1&lt;=Assumptions!$B$7+1,I10*2/3,0))</f>
        <v>278214.285714286</v>
      </c>
      <c r="K10" s="15" t="n">
        <f aca="false">IF(K1&lt;Assumptions!$B$7,J10+K9,IF(K1&lt;=Assumptions!$B$7+1,J10*2/3,0))</f>
        <v>185476.190476191</v>
      </c>
      <c r="L10" s="15" t="n">
        <f aca="false">IF(L1&lt;Assumptions!$B$7,K10+L9,IF(L1&lt;=Assumptions!$B$7+1,K10*2/3,0))</f>
        <v>123650.793650794</v>
      </c>
      <c r="M10" s="15" t="n">
        <f aca="false">IF(M1&lt;Assumptions!$B$7,L10+M9,IF(M1&lt;=Assumptions!$B$7+1,L10*2/3,0))</f>
        <v>0</v>
      </c>
      <c r="N10" s="15" t="n">
        <f aca="false">IF(N1&lt;Assumptions!$B$7,M10+N9,IF(N1&lt;=Assumptions!$B$7+1,M10*2/3,0))</f>
        <v>0</v>
      </c>
      <c r="O10" s="15" t="n">
        <f aca="false">IF(O1&lt;Assumptions!$B$7,N10+O9,IF(O1&lt;=Assumptions!$B$7+1,N10*2/3,0))</f>
        <v>0</v>
      </c>
      <c r="P10" s="15" t="n">
        <f aca="false">IF(P1&lt;Assumptions!$B$7,O10+P9,IF(P1&lt;=Assumptions!$B$7+1,O10*2/3,0))</f>
        <v>0</v>
      </c>
      <c r="Q10" s="15" t="n">
        <f aca="false">IF(Q1&lt;Assumptions!$B$7,P10+Q9,IF(Q1&lt;=Assumptions!$B$7+1,P10*2/3,0))</f>
        <v>0</v>
      </c>
      <c r="R10" s="15" t="n">
        <f aca="false">IF(R1&lt;Assumptions!$B$7,Q10+R9,IF(R1&lt;=Assumptions!$B$7+1,Q10*2/3,0))</f>
        <v>0</v>
      </c>
      <c r="S10" s="15" t="n">
        <f aca="false">IF(S1&lt;Assumptions!$B$7,R10+S9,IF(S1&lt;=Assumptions!$B$7+1,R10*2/3,0))</f>
        <v>0</v>
      </c>
      <c r="T10" s="15" t="n">
        <f aca="false">IF(T1&lt;Assumptions!$B$7,S10+T9,IF(T1&lt;=Assumptions!$B$7+1,S10*2/3,0))</f>
        <v>0</v>
      </c>
      <c r="U10" s="15" t="n">
        <f aca="false">IF(U1&lt;Assumptions!$B$7,T10+U9,IF(U1&lt;=Assumptions!$B$7+1,T10*2/3,0))</f>
        <v>0</v>
      </c>
      <c r="V10" s="15" t="n">
        <f aca="false">IF(V1&lt;Assumptions!$B$7,U10+V9,IF(V1&lt;=Assumptions!$B$7+1,U10*2/3,0))</f>
        <v>0</v>
      </c>
      <c r="W10" s="15" t="n">
        <f aca="false">IF(W1&lt;Assumptions!$B$7,V10+W9,IF(W1&lt;=Assumptions!$B$7+1,V10*2/3,0))</f>
        <v>0</v>
      </c>
      <c r="X10" s="15" t="n">
        <f aca="false">IF(X1&lt;Assumptions!$B$7,W10+X9,IF(X1&lt;=Assumptions!$B$7+1,W10*2/3,0))</f>
        <v>0</v>
      </c>
      <c r="Y10" s="15" t="n">
        <f aca="false">IF(Y1&lt;Assumptions!$B$7,X10+Y9,IF(Y1&lt;=Assumptions!$B$7+1,X10*2/3,0))</f>
        <v>0</v>
      </c>
      <c r="Z10" s="15" t="n">
        <f aca="false">IF(Z1&lt;Assumptions!$B$7,Y10+Z9,IF(Z1&lt;=Assumptions!$B$7+1,Y10*2/3,0))</f>
        <v>0</v>
      </c>
      <c r="AA10" s="15" t="n">
        <f aca="false">IF(AA1&lt;Assumptions!$B$7,Z10+AA9,IF(AA1&lt;=Assumptions!$B$7+1,Z10*2/3,0))</f>
        <v>0</v>
      </c>
      <c r="AB10" s="15" t="n">
        <f aca="false">IF(AB1&lt;Assumptions!$B$7,AA10+AB9,IF(AB1&lt;=Assumptions!$B$7+1,AA10*2/3,0))</f>
        <v>0</v>
      </c>
      <c r="AC10" s="15" t="n">
        <f aca="false">IF(AC1&lt;Assumptions!$B$7,AB10+AC9,IF(AC1&lt;=Assumptions!$B$7+1,AB10*2/3,0))</f>
        <v>0</v>
      </c>
      <c r="AD10" s="15" t="n">
        <f aca="false">IF(AD1&lt;Assumptions!$B$7,AC10+AD9,IF(AD1&lt;=Assumptions!$B$7+1,AC10*2/3,0))</f>
        <v>0</v>
      </c>
      <c r="AE10" s="15" t="n">
        <f aca="false">IF(AE1&lt;Assumptions!$B$7,AD10+AE9,IF(AE1&lt;=Assumptions!$B$7+1,AD10*2/3,0))</f>
        <v>0</v>
      </c>
      <c r="AF10" s="15" t="n">
        <f aca="false">IF(AF1&lt;Assumptions!$B$7,AE10+AF9,IF(AF1&lt;=Assumptions!$B$7+1,AE10*2/3,0))</f>
        <v>0</v>
      </c>
      <c r="AG10" s="15" t="n">
        <f aca="false">IF(AG1&lt;Assumptions!$B$7,AF10+AG9,IF(AG1&lt;=Assumptions!$B$7+1,AF10*2/3,0))</f>
        <v>0</v>
      </c>
      <c r="AH10" s="15" t="n">
        <f aca="false">IF(AH1&lt;Assumptions!$B$7,AG10+AH9,IF(AH1&lt;=Assumptions!$B$7+1,AG10*2/3,0))</f>
        <v>0</v>
      </c>
      <c r="AI10" s="15" t="n">
        <f aca="false">IF(AI1&lt;Assumptions!$B$7,AH10+AI9,IF(AI1&lt;=Assumptions!$B$7+1,AH10*2/3,0))</f>
        <v>0</v>
      </c>
      <c r="AJ10" s="15" t="n">
        <f aca="false">IF(AJ1&lt;Assumptions!$B$7,AI10+AJ9,IF(AJ1&lt;=Assumptions!$B$7+1,AI10*2/3,0))</f>
        <v>0</v>
      </c>
      <c r="AK10" s="15" t="n">
        <f aca="false">IF(AK1&lt;Assumptions!$B$7,AJ10+AK9,IF(AK1&lt;=Assumptions!$B$7+1,AJ10*2/3,0))</f>
        <v>0</v>
      </c>
    </row>
    <row r="11" customFormat="false" ht="15" hidden="false" customHeight="false" outlineLevel="0" collapsed="false">
      <c r="A11" s="2" t="s">
        <v>138</v>
      </c>
      <c r="B11" s="15" t="n">
        <f aca="false">0</f>
        <v>0</v>
      </c>
      <c r="C11" s="15" t="n">
        <f aca="false">IF(C1&lt;Assumptions!$B$7,0,IF(C1&lt;=Assumptions!$B$7+1,B10/3,IF(C1=Assumptions!$B$7+2,B10,0)))</f>
        <v>0</v>
      </c>
      <c r="D11" s="15" t="n">
        <f aca="false">IF(D1&lt;Assumptions!$B$7,0,IF(D1&lt;=Assumptions!$B$7+1,C10/3,IF(D1=Assumptions!$B$7+2,C10,0)))</f>
        <v>0</v>
      </c>
      <c r="E11" s="15" t="n">
        <f aca="false">IF(E1&lt;Assumptions!$B$7,0,IF(E1&lt;=Assumptions!$B$7+1,D10/3,IF(E1=Assumptions!$B$7+2,D10,0)))</f>
        <v>0</v>
      </c>
      <c r="F11" s="15" t="n">
        <f aca="false">IF(F1&lt;Assumptions!$B$7,0,IF(F1&lt;=Assumptions!$B$7+1,E10/3,IF(F1=Assumptions!$B$7+2,E10,0)))</f>
        <v>0</v>
      </c>
      <c r="G11" s="15" t="n">
        <f aca="false">IF(G1&lt;Assumptions!$B$7,0,IF(G1&lt;=Assumptions!$B$7+1,F10/3,IF(G1=Assumptions!$B$7+2,F10,0)))</f>
        <v>0</v>
      </c>
      <c r="H11" s="15" t="n">
        <f aca="false">IF(H1&lt;Assumptions!$B$7,0,IF(H1&lt;=Assumptions!$B$7+1,G10/3,IF(H1=Assumptions!$B$7+2,G10,0)))</f>
        <v>0</v>
      </c>
      <c r="I11" s="15" t="n">
        <f aca="false">IF(I1&lt;Assumptions!$B$7,0,IF(I1&lt;=Assumptions!$B$7+1,H10/3,IF(I1=Assumptions!$B$7+2,H10,0)))</f>
        <v>0</v>
      </c>
      <c r="J11" s="15" t="n">
        <f aca="false">IF(J1&lt;Assumptions!$B$7,0,IF(J1&lt;=Assumptions!$B$7+1,I10/3,IF(J1=Assumptions!$B$7+2,I10,0)))</f>
        <v>0</v>
      </c>
      <c r="K11" s="15" t="n">
        <f aca="false">IF(K1&lt;Assumptions!$B$7,0,IF(K1&lt;=Assumptions!$B$7+1,J10/3,IF(K1=Assumptions!$B$7+2,J10,0)))</f>
        <v>92738.0952380953</v>
      </c>
      <c r="L11" s="15" t="n">
        <f aca="false">IF(L1&lt;Assumptions!$B$7,0,IF(L1&lt;=Assumptions!$B$7+1,K10/3,IF(L1=Assumptions!$B$7+2,K10,0)))</f>
        <v>61825.3968253968</v>
      </c>
      <c r="M11" s="15" t="n">
        <f aca="false">IF(M1&lt;Assumptions!$B$7,0,IF(M1&lt;=Assumptions!$B$7+1,L10/3,IF(M1=Assumptions!$B$7+2,L10,0)))</f>
        <v>123650.793650794</v>
      </c>
      <c r="N11" s="15" t="n">
        <f aca="false">IF(N1&lt;Assumptions!$B$7,0,IF(N1&lt;=Assumptions!$B$7+1,M10/3,IF(N1=Assumptions!$B$7+2,M10,0)))</f>
        <v>0</v>
      </c>
      <c r="O11" s="15" t="n">
        <f aca="false">IF(O1&lt;Assumptions!$B$7,0,IF(O1&lt;=Assumptions!$B$7+1,N10/3,IF(O1=Assumptions!$B$7+2,N10,0)))</f>
        <v>0</v>
      </c>
      <c r="P11" s="15" t="n">
        <f aca="false">IF(P1&lt;Assumptions!$B$7,0,IF(P1&lt;=Assumptions!$B$7+1,O10/3,IF(P1=Assumptions!$B$7+2,O10,0)))</f>
        <v>0</v>
      </c>
      <c r="Q11" s="15" t="n">
        <f aca="false">IF(Q1&lt;Assumptions!$B$7,0,IF(Q1&lt;=Assumptions!$B$7+1,P10/3,IF(Q1=Assumptions!$B$7+2,P10,0)))</f>
        <v>0</v>
      </c>
      <c r="R11" s="15" t="n">
        <f aca="false">IF(R1&lt;Assumptions!$B$7,0,IF(R1&lt;=Assumptions!$B$7+1,Q10/3,IF(R1=Assumptions!$B$7+2,Q10,0)))</f>
        <v>0</v>
      </c>
      <c r="S11" s="15" t="n">
        <f aca="false">IF(S1&lt;Assumptions!$B$7,0,IF(S1&lt;=Assumptions!$B$7+1,R10/3,IF(S1=Assumptions!$B$7+2,R10,0)))</f>
        <v>0</v>
      </c>
      <c r="T11" s="15" t="n">
        <f aca="false">IF(T1&lt;Assumptions!$B$7,0,IF(T1&lt;=Assumptions!$B$7+1,S10/3,IF(T1=Assumptions!$B$7+2,S10,0)))</f>
        <v>0</v>
      </c>
      <c r="U11" s="15" t="n">
        <f aca="false">IF(U1&lt;Assumptions!$B$7,0,IF(U1&lt;=Assumptions!$B$7+1,T10/3,IF(U1=Assumptions!$B$7+2,T10,0)))</f>
        <v>0</v>
      </c>
      <c r="V11" s="15" t="n">
        <f aca="false">IF(V1&lt;Assumptions!$B$7,0,IF(V1&lt;=Assumptions!$B$7+1,U10/3,IF(V1=Assumptions!$B$7+2,U10,0)))</f>
        <v>0</v>
      </c>
      <c r="W11" s="15" t="n">
        <f aca="false">IF(W1&lt;Assumptions!$B$7,0,IF(W1&lt;=Assumptions!$B$7+1,V10/3,IF(W1=Assumptions!$B$7+2,V10,0)))</f>
        <v>0</v>
      </c>
      <c r="X11" s="15" t="n">
        <f aca="false">IF(X1&lt;Assumptions!$B$7,0,IF(X1&lt;=Assumptions!$B$7+1,W10/3,IF(X1=Assumptions!$B$7+2,W10,0)))</f>
        <v>0</v>
      </c>
      <c r="Y11" s="15" t="n">
        <f aca="false">IF(Y1&lt;Assumptions!$B$7,0,IF(Y1&lt;=Assumptions!$B$7+1,X10/3,IF(Y1=Assumptions!$B$7+2,X10,0)))</f>
        <v>0</v>
      </c>
      <c r="Z11" s="15" t="n">
        <f aca="false">IF(Z1&lt;Assumptions!$B$7,0,IF(Z1&lt;=Assumptions!$B$7+1,Y10/3,IF(Z1=Assumptions!$B$7+2,Y10,0)))</f>
        <v>0</v>
      </c>
      <c r="AA11" s="15" t="n">
        <f aca="false">IF(AA1&lt;Assumptions!$B$7,0,IF(AA1&lt;=Assumptions!$B$7+1,Z10/3,IF(AA1=Assumptions!$B$7+2,Z10,0)))</f>
        <v>0</v>
      </c>
      <c r="AB11" s="15" t="n">
        <f aca="false">IF(AB1&lt;Assumptions!$B$7,0,IF(AB1&lt;=Assumptions!$B$7+1,AA10/3,IF(AB1=Assumptions!$B$7+2,AA10,0)))</f>
        <v>0</v>
      </c>
      <c r="AC11" s="15" t="n">
        <f aca="false">IF(AC1&lt;Assumptions!$B$7,0,IF(AC1&lt;=Assumptions!$B$7+1,AB10/3,IF(AC1=Assumptions!$B$7+2,AB10,0)))</f>
        <v>0</v>
      </c>
      <c r="AD11" s="15" t="n">
        <f aca="false">IF(AD1&lt;Assumptions!$B$7,0,IF(AD1&lt;=Assumptions!$B$7+1,AC10/3,IF(AD1=Assumptions!$B$7+2,AC10,0)))</f>
        <v>0</v>
      </c>
      <c r="AE11" s="15" t="n">
        <f aca="false">IF(AE1&lt;Assumptions!$B$7,0,IF(AE1&lt;=Assumptions!$B$7+1,AD10/3,IF(AE1=Assumptions!$B$7+2,AD10,0)))</f>
        <v>0</v>
      </c>
      <c r="AF11" s="15" t="n">
        <f aca="false">IF(AF1&lt;Assumptions!$B$7,0,IF(AF1&lt;=Assumptions!$B$7+1,AE10/3,IF(AF1=Assumptions!$B$7+2,AE10,0)))</f>
        <v>0</v>
      </c>
      <c r="AG11" s="15" t="n">
        <f aca="false">IF(AG1&lt;Assumptions!$B$7,0,IF(AG1&lt;=Assumptions!$B$7+1,AF10/3,IF(AG1=Assumptions!$B$7+2,AF10,0)))</f>
        <v>0</v>
      </c>
      <c r="AH11" s="15" t="n">
        <f aca="false">IF(AH1&lt;Assumptions!$B$7,0,IF(AH1&lt;=Assumptions!$B$7+1,AG10/3,IF(AH1=Assumptions!$B$7+2,AG10,0)))</f>
        <v>0</v>
      </c>
      <c r="AI11" s="15" t="n">
        <f aca="false">IF(AI1&lt;Assumptions!$B$7,0,IF(AI1&lt;=Assumptions!$B$7+1,AH10/3,IF(AI1=Assumptions!$B$7+2,AH10,0)))</f>
        <v>0</v>
      </c>
      <c r="AJ11" s="15" t="n">
        <f aca="false">IF(AJ1&lt;Assumptions!$B$7,0,IF(AJ1&lt;=Assumptions!$B$7+1,AI10/3,IF(AJ1=Assumptions!$B$7+2,AI10,0)))</f>
        <v>0</v>
      </c>
      <c r="AK11" s="15" t="n">
        <f aca="false">IF(AK1&lt;Assumptions!$B$7,0,IF(AK1&lt;=Assumptions!$B$7+1,AJ10/3,IF(AK1=Assumptions!$B$7+2,AJ10,0)))</f>
        <v>0</v>
      </c>
    </row>
    <row r="12" customFormat="false" ht="15" hidden="false" customHeight="false" outlineLevel="0" collapsed="false">
      <c r="A12" s="2" t="s">
        <v>139</v>
      </c>
      <c r="B12" s="15" t="n">
        <f aca="false">B11*Assumptions!$D$31+IF(B1&gt;=Assumptions!$B$7,B9*Assumptions!$D$32,0)</f>
        <v>0</v>
      </c>
      <c r="C12" s="15" t="n">
        <f aca="false">C11*Assumptions!$D$31+IF(C1&gt;=Assumptions!$B$7,C9*Assumptions!$D$32,0)</f>
        <v>0</v>
      </c>
      <c r="D12" s="15" t="n">
        <f aca="false">D11*Assumptions!$D$31+IF(D1&gt;=Assumptions!$B$7,D9*Assumptions!$D$32,0)</f>
        <v>0</v>
      </c>
      <c r="E12" s="15" t="n">
        <f aca="false">E11*Assumptions!$D$31+IF(E1&gt;=Assumptions!$B$7,E9*Assumptions!$D$32,0)</f>
        <v>0</v>
      </c>
      <c r="F12" s="15" t="n">
        <f aca="false">F11*Assumptions!$D$31+IF(F1&gt;=Assumptions!$B$7,F9*Assumptions!$D$32,0)</f>
        <v>0</v>
      </c>
      <c r="G12" s="15" t="n">
        <f aca="false">G11*Assumptions!$D$31+IF(G1&gt;=Assumptions!$B$7,G9*Assumptions!$D$32,0)</f>
        <v>0</v>
      </c>
      <c r="H12" s="15" t="n">
        <f aca="false">H11*Assumptions!$D$31+IF(H1&gt;=Assumptions!$B$7,H9*Assumptions!$D$32,0)</f>
        <v>0</v>
      </c>
      <c r="I12" s="15" t="n">
        <f aca="false">I11*Assumptions!$D$31+IF(I1&gt;=Assumptions!$B$7,I9*Assumptions!$D$32,0)</f>
        <v>0</v>
      </c>
      <c r="J12" s="15" t="n">
        <f aca="false">J11*Assumptions!$D$31+IF(J1&gt;=Assumptions!$B$7,J9*Assumptions!$D$32,0)</f>
        <v>0</v>
      </c>
      <c r="K12" s="15" t="n">
        <f aca="false">K11*Assumptions!$D$31+IF(K1&gt;=Assumptions!$B$7,K9*Assumptions!$D$32,0)</f>
        <v>11513.0952380952</v>
      </c>
      <c r="L12" s="15" t="n">
        <f aca="false">L11*Assumptions!$D$31+IF(L1&gt;=Assumptions!$B$7,L9*Assumptions!$D$32,0)</f>
        <v>8421.8253968254</v>
      </c>
      <c r="M12" s="15" t="n">
        <f aca="false">M11*Assumptions!$D$31+IF(M1&gt;=Assumptions!$B$7,M9*Assumptions!$D$32,0)</f>
        <v>14604.3650793651</v>
      </c>
      <c r="N12" s="15" t="n">
        <f aca="false">N11*Assumptions!$D$31+IF(N1&gt;=Assumptions!$B$7,N9*Assumptions!$D$32,0)</f>
        <v>1319.14285714286</v>
      </c>
      <c r="O12" s="15" t="n">
        <f aca="false">O11*Assumptions!$D$31+IF(O1&gt;=Assumptions!$B$7,O9*Assumptions!$D$32,0)</f>
        <v>1319.14285714286</v>
      </c>
      <c r="P12" s="15" t="n">
        <f aca="false">P11*Assumptions!$D$31+IF(P1&gt;=Assumptions!$B$7,P9*Assumptions!$D$32,0)</f>
        <v>1319.14285714286</v>
      </c>
      <c r="Q12" s="15" t="n">
        <f aca="false">Q11*Assumptions!$D$31+IF(Q1&gt;=Assumptions!$B$7,Q9*Assumptions!$D$32,0)</f>
        <v>989.357142857143</v>
      </c>
      <c r="R12" s="15" t="n">
        <f aca="false">R11*Assumptions!$D$31+IF(R1&gt;=Assumptions!$B$7,R9*Assumptions!$D$32,0)</f>
        <v>989.357142857143</v>
      </c>
      <c r="S12" s="15" t="n">
        <f aca="false">S11*Assumptions!$D$31+IF(S1&gt;=Assumptions!$B$7,S9*Assumptions!$D$32,0)</f>
        <v>989.357142857143</v>
      </c>
      <c r="T12" s="15" t="n">
        <f aca="false">T11*Assumptions!$D$31+IF(T1&gt;=Assumptions!$B$7,T9*Assumptions!$D$32,0)</f>
        <v>989.357142857143</v>
      </c>
      <c r="U12" s="15" t="n">
        <f aca="false">U11*Assumptions!$D$31+IF(U1&gt;=Assumptions!$B$7,U9*Assumptions!$D$32,0)</f>
        <v>989.357142857143</v>
      </c>
      <c r="V12" s="15" t="n">
        <f aca="false">V11*Assumptions!$D$31+IF(V1&gt;=Assumptions!$B$7,V9*Assumptions!$D$32,0)</f>
        <v>989.357142857143</v>
      </c>
      <c r="W12" s="15" t="n">
        <f aca="false">W11*Assumptions!$D$31+IF(W1&gt;=Assumptions!$B$7,W9*Assumptions!$D$32,0)</f>
        <v>989.357142857143</v>
      </c>
      <c r="X12" s="15" t="n">
        <f aca="false">X11*Assumptions!$D$31+IF(X1&gt;=Assumptions!$B$7,X9*Assumptions!$D$32,0)</f>
        <v>989.357142857143</v>
      </c>
      <c r="Y12" s="15" t="n">
        <f aca="false">Y11*Assumptions!$D$31+IF(Y1&gt;=Assumptions!$B$7,Y9*Assumptions!$D$32,0)</f>
        <v>989.357142857143</v>
      </c>
      <c r="Z12" s="15" t="n">
        <f aca="false">Z11*Assumptions!$D$31+IF(Z1&gt;=Assumptions!$B$7,Z9*Assumptions!$D$32,0)</f>
        <v>732.857142857143</v>
      </c>
      <c r="AA12" s="15" t="n">
        <f aca="false">AA11*Assumptions!$D$31+IF(AA1&gt;=Assumptions!$B$7,AA9*Assumptions!$D$32,0)</f>
        <v>732.857142857143</v>
      </c>
      <c r="AB12" s="15" t="n">
        <f aca="false">AB11*Assumptions!$D$31+IF(AB1&gt;=Assumptions!$B$7,AB9*Assumptions!$D$32,0)</f>
        <v>732.857142857143</v>
      </c>
      <c r="AC12" s="15" t="n">
        <f aca="false">AC11*Assumptions!$D$31+IF(AC1&gt;=Assumptions!$B$7,AC9*Assumptions!$D$32,0)</f>
        <v>732.857142857143</v>
      </c>
      <c r="AD12" s="15" t="n">
        <f aca="false">AD11*Assumptions!$D$31+IF(AD1&gt;=Assumptions!$B$7,AD9*Assumptions!$D$32,0)</f>
        <v>732.857142857143</v>
      </c>
      <c r="AE12" s="15" t="n">
        <f aca="false">AE11*Assumptions!$D$31+IF(AE1&gt;=Assumptions!$B$7,AE9*Assumptions!$D$32,0)</f>
        <v>732.857142857143</v>
      </c>
      <c r="AF12" s="15" t="n">
        <f aca="false">AF11*Assumptions!$D$31+IF(AF1&gt;=Assumptions!$B$7,AF9*Assumptions!$D$32,0)</f>
        <v>732.857142857143</v>
      </c>
      <c r="AG12" s="15" t="n">
        <f aca="false">AG11*Assumptions!$D$31+IF(AG1&gt;=Assumptions!$B$7,AG9*Assumptions!$D$32,0)</f>
        <v>732.857142857143</v>
      </c>
      <c r="AH12" s="15" t="n">
        <f aca="false">AH11*Assumptions!$D$31+IF(AH1&gt;=Assumptions!$B$7,AH9*Assumptions!$D$32,0)</f>
        <v>732.857142857143</v>
      </c>
      <c r="AI12" s="15" t="n">
        <f aca="false">AI11*Assumptions!$D$31+IF(AI1&gt;=Assumptions!$B$7,AI9*Assumptions!$D$32,0)</f>
        <v>732.857142857143</v>
      </c>
      <c r="AJ12" s="15" t="n">
        <f aca="false">AJ11*Assumptions!$D$31+IF(AJ1&gt;=Assumptions!$B$7,AJ9*Assumptions!$D$32,0)</f>
        <v>732.857142857143</v>
      </c>
      <c r="AK12" s="15" t="n">
        <f aca="false">AK11*Assumptions!$D$31+IF(AK1&gt;=Assumptions!$B$7,AK9*Assumptions!$D$32,0)</f>
        <v>732.857142857143</v>
      </c>
    </row>
    <row r="13" customFormat="false" ht="15" hidden="false" customHeight="false" outlineLevel="0" collapsed="false">
      <c r="A13" s="2" t="s">
        <v>140</v>
      </c>
      <c r="B13" s="19" t="n">
        <f aca="false">MIN(Assumptions!$D$33,CHOOSE(B2,Assumptions!$D$58,Assumptions!$D$59,Assumptions!$D$60)/Assumptions!$B$5)/12</f>
        <v>0.0833333333333333</v>
      </c>
      <c r="C13" s="19" t="n">
        <f aca="false">MIN(Assumptions!$D$33,CHOOSE(C2,Assumptions!$D$58,Assumptions!$D$59,Assumptions!$D$60)/Assumptions!$B$5)/12</f>
        <v>0.0833333333333333</v>
      </c>
      <c r="D13" s="19" t="n">
        <f aca="false">MIN(Assumptions!$D$33,CHOOSE(D2,Assumptions!$D$58,Assumptions!$D$59,Assumptions!$D$60)/Assumptions!$B$5)/12</f>
        <v>0.0833333333333333</v>
      </c>
      <c r="E13" s="19" t="n">
        <f aca="false">MIN(Assumptions!$D$33,CHOOSE(E2,Assumptions!$D$58,Assumptions!$D$59,Assumptions!$D$60)/Assumptions!$B$5)/12</f>
        <v>0.0833333333333333</v>
      </c>
      <c r="F13" s="19" t="n">
        <f aca="false">MIN(Assumptions!$D$33,CHOOSE(F2,Assumptions!$D$58,Assumptions!$D$59,Assumptions!$D$60)/Assumptions!$B$5)/12</f>
        <v>0.0833333333333333</v>
      </c>
      <c r="G13" s="19" t="n">
        <f aca="false">MIN(Assumptions!$D$33,CHOOSE(G2,Assumptions!$D$58,Assumptions!$D$59,Assumptions!$D$60)/Assumptions!$B$5)/12</f>
        <v>0.0833333333333333</v>
      </c>
      <c r="H13" s="19" t="n">
        <f aca="false">MIN(Assumptions!$D$33,CHOOSE(H2,Assumptions!$D$58,Assumptions!$D$59,Assumptions!$D$60)/Assumptions!$B$5)/12</f>
        <v>0.0833333333333333</v>
      </c>
      <c r="I13" s="19" t="n">
        <f aca="false">MIN(Assumptions!$D$33,CHOOSE(I2,Assumptions!$D$58,Assumptions!$D$59,Assumptions!$D$60)/Assumptions!$B$5)/12</f>
        <v>0.0833333333333333</v>
      </c>
      <c r="J13" s="19" t="n">
        <f aca="false">MIN(Assumptions!$D$33,CHOOSE(J2,Assumptions!$D$58,Assumptions!$D$59,Assumptions!$D$60)/Assumptions!$B$5)/12</f>
        <v>0.0833333333333333</v>
      </c>
      <c r="K13" s="19" t="n">
        <f aca="false">MIN(Assumptions!$D$33,CHOOSE(K2,Assumptions!$D$58,Assumptions!$D$59,Assumptions!$D$60)/Assumptions!$B$5)/12</f>
        <v>0.0833333333333333</v>
      </c>
      <c r="L13" s="19" t="n">
        <f aca="false">MIN(Assumptions!$D$33,CHOOSE(L2,Assumptions!$D$58,Assumptions!$D$59,Assumptions!$D$60)/Assumptions!$B$5)/12</f>
        <v>0.0833333333333333</v>
      </c>
      <c r="M13" s="19" t="n">
        <f aca="false">MIN(Assumptions!$D$33,CHOOSE(M2,Assumptions!$D$58,Assumptions!$D$59,Assumptions!$D$60)/Assumptions!$B$5)/12</f>
        <v>0.0833333333333333</v>
      </c>
      <c r="N13" s="19" t="n">
        <f aca="false">MIN(Assumptions!$D$33,CHOOSE(N2,Assumptions!$D$58,Assumptions!$D$59,Assumptions!$D$60)/Assumptions!$B$5)/12</f>
        <v>0.125</v>
      </c>
      <c r="O13" s="19" t="n">
        <f aca="false">MIN(Assumptions!$D$33,CHOOSE(O2,Assumptions!$D$58,Assumptions!$D$59,Assumptions!$D$60)/Assumptions!$B$5)/12</f>
        <v>0.125</v>
      </c>
      <c r="P13" s="19" t="n">
        <f aca="false">MIN(Assumptions!$D$33,CHOOSE(P2,Assumptions!$D$58,Assumptions!$D$59,Assumptions!$D$60)/Assumptions!$B$5)/12</f>
        <v>0.125</v>
      </c>
      <c r="Q13" s="19" t="n">
        <f aca="false">MIN(Assumptions!$D$33,CHOOSE(Q2,Assumptions!$D$58,Assumptions!$D$59,Assumptions!$D$60)/Assumptions!$B$5)/12</f>
        <v>0.125</v>
      </c>
      <c r="R13" s="19" t="n">
        <f aca="false">MIN(Assumptions!$D$33,CHOOSE(R2,Assumptions!$D$58,Assumptions!$D$59,Assumptions!$D$60)/Assumptions!$B$5)/12</f>
        <v>0.125</v>
      </c>
      <c r="S13" s="19" t="n">
        <f aca="false">MIN(Assumptions!$D$33,CHOOSE(S2,Assumptions!$D$58,Assumptions!$D$59,Assumptions!$D$60)/Assumptions!$B$5)/12</f>
        <v>0.125</v>
      </c>
      <c r="T13" s="19" t="n">
        <f aca="false">MIN(Assumptions!$D$33,CHOOSE(T2,Assumptions!$D$58,Assumptions!$D$59,Assumptions!$D$60)/Assumptions!$B$5)/12</f>
        <v>0.125</v>
      </c>
      <c r="U13" s="19" t="n">
        <f aca="false">MIN(Assumptions!$D$33,CHOOSE(U2,Assumptions!$D$58,Assumptions!$D$59,Assumptions!$D$60)/Assumptions!$B$5)/12</f>
        <v>0.125</v>
      </c>
      <c r="V13" s="19" t="n">
        <f aca="false">MIN(Assumptions!$D$33,CHOOSE(V2,Assumptions!$D$58,Assumptions!$D$59,Assumptions!$D$60)/Assumptions!$B$5)/12</f>
        <v>0.125</v>
      </c>
      <c r="W13" s="19" t="n">
        <f aca="false">MIN(Assumptions!$D$33,CHOOSE(W2,Assumptions!$D$58,Assumptions!$D$59,Assumptions!$D$60)/Assumptions!$B$5)/12</f>
        <v>0.125</v>
      </c>
      <c r="X13" s="19" t="n">
        <f aca="false">MIN(Assumptions!$D$33,CHOOSE(X2,Assumptions!$D$58,Assumptions!$D$59,Assumptions!$D$60)/Assumptions!$B$5)/12</f>
        <v>0.125</v>
      </c>
      <c r="Y13" s="19" t="n">
        <f aca="false">MIN(Assumptions!$D$33,CHOOSE(Y2,Assumptions!$D$58,Assumptions!$D$59,Assumptions!$D$60)/Assumptions!$B$5)/12</f>
        <v>0.125</v>
      </c>
      <c r="Z13" s="19" t="n">
        <f aca="false">MIN(Assumptions!$D$33,CHOOSE(Z2,Assumptions!$D$58,Assumptions!$D$59,Assumptions!$D$60)/Assumptions!$B$5)/12</f>
        <v>0.125</v>
      </c>
      <c r="AA13" s="19" t="n">
        <f aca="false">MIN(Assumptions!$D$33,CHOOSE(AA2,Assumptions!$D$58,Assumptions!$D$59,Assumptions!$D$60)/Assumptions!$B$5)/12</f>
        <v>0.125</v>
      </c>
      <c r="AB13" s="19" t="n">
        <f aca="false">MIN(Assumptions!$D$33,CHOOSE(AB2,Assumptions!$D$58,Assumptions!$D$59,Assumptions!$D$60)/Assumptions!$B$5)/12</f>
        <v>0.125</v>
      </c>
      <c r="AC13" s="19" t="n">
        <f aca="false">MIN(Assumptions!$D$33,CHOOSE(AC2,Assumptions!$D$58,Assumptions!$D$59,Assumptions!$D$60)/Assumptions!$B$5)/12</f>
        <v>0.125</v>
      </c>
      <c r="AD13" s="19" t="n">
        <f aca="false">MIN(Assumptions!$D$33,CHOOSE(AD2,Assumptions!$D$58,Assumptions!$D$59,Assumptions!$D$60)/Assumptions!$B$5)/12</f>
        <v>0.125</v>
      </c>
      <c r="AE13" s="19" t="n">
        <f aca="false">MIN(Assumptions!$D$33,CHOOSE(AE2,Assumptions!$D$58,Assumptions!$D$59,Assumptions!$D$60)/Assumptions!$B$5)/12</f>
        <v>0.125</v>
      </c>
      <c r="AF13" s="19" t="n">
        <f aca="false">MIN(Assumptions!$D$33,CHOOSE(AF2,Assumptions!$D$58,Assumptions!$D$59,Assumptions!$D$60)/Assumptions!$B$5)/12</f>
        <v>0.125</v>
      </c>
      <c r="AG13" s="19" t="n">
        <f aca="false">MIN(Assumptions!$D$33,CHOOSE(AG2,Assumptions!$D$58,Assumptions!$D$59,Assumptions!$D$60)/Assumptions!$B$5)/12</f>
        <v>0.125</v>
      </c>
      <c r="AH13" s="19" t="n">
        <f aca="false">MIN(Assumptions!$D$33,CHOOSE(AH2,Assumptions!$D$58,Assumptions!$D$59,Assumptions!$D$60)/Assumptions!$B$5)/12</f>
        <v>0.125</v>
      </c>
      <c r="AI13" s="19" t="n">
        <f aca="false">MIN(Assumptions!$D$33,CHOOSE(AI2,Assumptions!$D$58,Assumptions!$D$59,Assumptions!$D$60)/Assumptions!$B$5)/12</f>
        <v>0.125</v>
      </c>
      <c r="AJ13" s="19" t="n">
        <f aca="false">MIN(Assumptions!$D$33,CHOOSE(AJ2,Assumptions!$D$58,Assumptions!$D$59,Assumptions!$D$60)/Assumptions!$B$5)/12</f>
        <v>0.125</v>
      </c>
      <c r="AK13" s="19" t="n">
        <f aca="false">MIN(Assumptions!$D$33,CHOOSE(AK2,Assumptions!$D$58,Assumptions!$D$59,Assumptions!$D$60)/Assumptions!$B$5)/12</f>
        <v>0.125</v>
      </c>
    </row>
    <row r="14" customFormat="false" ht="15" hidden="false" customHeight="false" outlineLevel="0" collapsed="false">
      <c r="A14" s="2" t="s">
        <v>141</v>
      </c>
      <c r="B14" s="15" t="n">
        <f aca="false">0</f>
        <v>0</v>
      </c>
      <c r="C14" s="15" t="n">
        <f aca="false">B15*C13</f>
        <v>0</v>
      </c>
      <c r="D14" s="15" t="n">
        <f aca="false">C15*D13</f>
        <v>0</v>
      </c>
      <c r="E14" s="15" t="n">
        <f aca="false">D15*E13</f>
        <v>0</v>
      </c>
      <c r="F14" s="15" t="n">
        <f aca="false">E15*F13</f>
        <v>0</v>
      </c>
      <c r="G14" s="15" t="n">
        <f aca="false">F15*G13</f>
        <v>0</v>
      </c>
      <c r="H14" s="15" t="n">
        <f aca="false">G15*H13</f>
        <v>0</v>
      </c>
      <c r="I14" s="15" t="n">
        <f aca="false">H15*I13</f>
        <v>0</v>
      </c>
      <c r="J14" s="15" t="n">
        <f aca="false">I15*J13</f>
        <v>0</v>
      </c>
      <c r="K14" s="15" t="n">
        <f aca="false">J15*K13</f>
        <v>0</v>
      </c>
      <c r="L14" s="15" t="n">
        <f aca="false">K15*L13</f>
        <v>959.424603174603</v>
      </c>
      <c r="M14" s="15" t="n">
        <f aca="false">L15*M13</f>
        <v>1613.27215608466</v>
      </c>
      <c r="N14" s="15" t="n">
        <f aca="false">M15*N13</f>
        <v>4124.45845734127</v>
      </c>
      <c r="O14" s="15" t="n">
        <f aca="false">N15*O13</f>
        <v>4083.12839161706</v>
      </c>
      <c r="P14" s="15" t="n">
        <f aca="false">O15*P13</f>
        <v>4043.86482917907</v>
      </c>
      <c r="Q14" s="15" t="n">
        <f aca="false">P15*Q13</f>
        <v>4006.56444486297</v>
      </c>
      <c r="R14" s="15" t="n">
        <f aca="false">Q15*R13</f>
        <v>3929.90586547697</v>
      </c>
      <c r="S14" s="15" t="n">
        <f aca="false">R15*S13</f>
        <v>3857.08021506026</v>
      </c>
      <c r="T14" s="15" t="n">
        <f aca="false">S15*T13</f>
        <v>3787.89584716439</v>
      </c>
      <c r="U14" s="15" t="n">
        <f aca="false">T15*U13</f>
        <v>3722.17069766331</v>
      </c>
      <c r="V14" s="15" t="n">
        <f aca="false">U15*V13</f>
        <v>3659.73180563729</v>
      </c>
      <c r="W14" s="15" t="n">
        <f aca="false">V15*W13</f>
        <v>3600.41485821257</v>
      </c>
      <c r="X14" s="15" t="n">
        <f aca="false">W15*X13</f>
        <v>3544.06375815908</v>
      </c>
      <c r="Y14" s="15" t="n">
        <f aca="false">X15*Y13</f>
        <v>3490.53021310827</v>
      </c>
      <c r="Z14" s="15" t="n">
        <f aca="false">Y15*Z13</f>
        <v>3439.67334531</v>
      </c>
      <c r="AA14" s="15" t="n">
        <f aca="false">Z15*AA13</f>
        <v>3359.29682090164</v>
      </c>
      <c r="AB14" s="15" t="n">
        <f aca="false">AA15*AB13</f>
        <v>3282.9391227137</v>
      </c>
      <c r="AC14" s="15" t="n">
        <f aca="false">AB15*AC13</f>
        <v>3210.39930943516</v>
      </c>
      <c r="AD14" s="15" t="n">
        <f aca="false">AC15*AD13</f>
        <v>3141.48648682054</v>
      </c>
      <c r="AE14" s="15" t="n">
        <f aca="false">AD15*AE13</f>
        <v>3076.01930533666</v>
      </c>
      <c r="AF14" s="15" t="n">
        <f aca="false">AE15*AF13</f>
        <v>3013.82548292697</v>
      </c>
      <c r="AG14" s="15" t="n">
        <f aca="false">AF15*AG13</f>
        <v>2954.74135163776</v>
      </c>
      <c r="AH14" s="15" t="n">
        <f aca="false">AG15*AH13</f>
        <v>2898.61142691302</v>
      </c>
      <c r="AI14" s="15" t="n">
        <f aca="false">AH15*AI13</f>
        <v>2845.28799842451</v>
      </c>
      <c r="AJ14" s="15" t="n">
        <f aca="false">AI15*AJ13</f>
        <v>2794.63074136043</v>
      </c>
      <c r="AK14" s="15" t="n">
        <f aca="false">AJ15*AK13</f>
        <v>2746.50634714955</v>
      </c>
    </row>
    <row r="15" customFormat="false" ht="15" hidden="false" customHeight="false" outlineLevel="0" collapsed="false">
      <c r="A15" s="2" t="s">
        <v>142</v>
      </c>
      <c r="B15" s="15" t="n">
        <f aca="false">B12</f>
        <v>0</v>
      </c>
      <c r="C15" s="15" t="n">
        <f aca="false">B15*(1-Assumptions!$B$23)+C12</f>
        <v>0</v>
      </c>
      <c r="D15" s="15" t="n">
        <f aca="false">C15*(1-Assumptions!$B$23)+D12</f>
        <v>0</v>
      </c>
      <c r="E15" s="15" t="n">
        <f aca="false">D15*(1-Assumptions!$B$23)+E12</f>
        <v>0</v>
      </c>
      <c r="F15" s="15" t="n">
        <f aca="false">E15*(1-Assumptions!$B$23)+F12</f>
        <v>0</v>
      </c>
      <c r="G15" s="15" t="n">
        <f aca="false">F15*(1-Assumptions!$B$23)+G12</f>
        <v>0</v>
      </c>
      <c r="H15" s="15" t="n">
        <f aca="false">G15*(1-Assumptions!$B$23)+H12</f>
        <v>0</v>
      </c>
      <c r="I15" s="15" t="n">
        <f aca="false">H15*(1-Assumptions!$B$23)+I12</f>
        <v>0</v>
      </c>
      <c r="J15" s="15" t="n">
        <f aca="false">I15*(1-Assumptions!$B$23)+J12</f>
        <v>0</v>
      </c>
      <c r="K15" s="15" t="n">
        <f aca="false">J15*(1-Assumptions!$B$23)+K12</f>
        <v>11513.0952380952</v>
      </c>
      <c r="L15" s="15" t="n">
        <f aca="false">K15*(1-Assumptions!$B$23)+L12</f>
        <v>19359.2658730159</v>
      </c>
      <c r="M15" s="15" t="n">
        <f aca="false">L15*(1-Assumptions!$B$23)+M12</f>
        <v>32995.6676587302</v>
      </c>
      <c r="N15" s="15" t="n">
        <f aca="false">M15*(1-Assumptions!$B$23)+N12</f>
        <v>32665.0271329365</v>
      </c>
      <c r="O15" s="15" t="n">
        <f aca="false">N15*(1-Assumptions!$B$23)+O12</f>
        <v>32350.9186334325</v>
      </c>
      <c r="P15" s="15" t="n">
        <f aca="false">O15*(1-Assumptions!$B$23)+P12</f>
        <v>32052.5155589038</v>
      </c>
      <c r="Q15" s="15" t="n">
        <f aca="false">P15*(1-Assumptions!$B$23)+Q12</f>
        <v>31439.2469238157</v>
      </c>
      <c r="R15" s="15" t="n">
        <f aca="false">Q15*(1-Assumptions!$B$23)+R12</f>
        <v>30856.6417204821</v>
      </c>
      <c r="S15" s="15" t="n">
        <f aca="false">R15*(1-Assumptions!$B$23)+S12</f>
        <v>30303.1667773151</v>
      </c>
      <c r="T15" s="15" t="n">
        <f aca="false">S15*(1-Assumptions!$B$23)+T12</f>
        <v>29777.3655813065</v>
      </c>
      <c r="U15" s="15" t="n">
        <f aca="false">T15*(1-Assumptions!$B$23)+U12</f>
        <v>29277.8544450983</v>
      </c>
      <c r="V15" s="15" t="n">
        <f aca="false">U15*(1-Assumptions!$B$23)+V12</f>
        <v>28803.3188657005</v>
      </c>
      <c r="W15" s="15" t="n">
        <f aca="false">V15*(1-Assumptions!$B$23)+W12</f>
        <v>28352.5100652727</v>
      </c>
      <c r="X15" s="15" t="n">
        <f aca="false">W15*(1-Assumptions!$B$23)+X12</f>
        <v>27924.2417048662</v>
      </c>
      <c r="Y15" s="15" t="n">
        <f aca="false">X15*(1-Assumptions!$B$23)+Y12</f>
        <v>27517.38676248</v>
      </c>
      <c r="Z15" s="15" t="n">
        <f aca="false">Y15*(1-Assumptions!$B$23)+Z12</f>
        <v>26874.3745672131</v>
      </c>
      <c r="AA15" s="15" t="n">
        <f aca="false">Z15*(1-Assumptions!$B$23)+AA12</f>
        <v>26263.5129817096</v>
      </c>
      <c r="AB15" s="15" t="n">
        <f aca="false">AA15*(1-Assumptions!$B$23)+AB12</f>
        <v>25683.1944754813</v>
      </c>
      <c r="AC15" s="15" t="n">
        <f aca="false">AB15*(1-Assumptions!$B$23)+AC12</f>
        <v>25131.8918945644</v>
      </c>
      <c r="AD15" s="15" t="n">
        <f aca="false">AC15*(1-Assumptions!$B$23)+AD12</f>
        <v>24608.1544426933</v>
      </c>
      <c r="AE15" s="15" t="n">
        <f aca="false">AD15*(1-Assumptions!$B$23)+AE12</f>
        <v>24110.6038634158</v>
      </c>
      <c r="AF15" s="15" t="n">
        <f aca="false">AE15*(1-Assumptions!$B$23)+AF12</f>
        <v>23637.9308131021</v>
      </c>
      <c r="AG15" s="15" t="n">
        <f aca="false">AF15*(1-Assumptions!$B$23)+AG12</f>
        <v>23188.8914153041</v>
      </c>
      <c r="AH15" s="15" t="n">
        <f aca="false">AG15*(1-Assumptions!$B$23)+AH12</f>
        <v>22762.3039873961</v>
      </c>
      <c r="AI15" s="15" t="n">
        <f aca="false">AH15*(1-Assumptions!$B$23)+AI12</f>
        <v>22357.0459308834</v>
      </c>
      <c r="AJ15" s="15" t="n">
        <f aca="false">AI15*(1-Assumptions!$B$23)+AJ12</f>
        <v>21972.0507771964</v>
      </c>
      <c r="AK15" s="15" t="n">
        <f aca="false">AJ15*(1-Assumptions!$B$23)+AK12</f>
        <v>21606.3053811937</v>
      </c>
    </row>
    <row r="16" customFormat="false" ht="15" hidden="false" customHeight="false" outlineLevel="0" collapsed="false">
      <c r="A16" s="2" t="s">
        <v>143</v>
      </c>
      <c r="B16" s="15" t="n">
        <f aca="false">B12+B14</f>
        <v>0</v>
      </c>
      <c r="C16" s="15" t="n">
        <f aca="false">C12+C14</f>
        <v>0</v>
      </c>
      <c r="D16" s="15" t="n">
        <f aca="false">D12+D14</f>
        <v>0</v>
      </c>
      <c r="E16" s="15" t="n">
        <f aca="false">E12+E14</f>
        <v>0</v>
      </c>
      <c r="F16" s="15" t="n">
        <f aca="false">F12+F14</f>
        <v>0</v>
      </c>
      <c r="G16" s="15" t="n">
        <f aca="false">G12+G14</f>
        <v>0</v>
      </c>
      <c r="H16" s="15" t="n">
        <f aca="false">H12+H14</f>
        <v>0</v>
      </c>
      <c r="I16" s="15" t="n">
        <f aca="false">I12+I14</f>
        <v>0</v>
      </c>
      <c r="J16" s="15" t="n">
        <f aca="false">J12+J14</f>
        <v>0</v>
      </c>
      <c r="K16" s="15" t="n">
        <f aca="false">K12+K14</f>
        <v>11513.0952380952</v>
      </c>
      <c r="L16" s="15" t="n">
        <f aca="false">L12+L14</f>
        <v>9381.25</v>
      </c>
      <c r="M16" s="15" t="n">
        <f aca="false">M12+M14</f>
        <v>16217.6372354497</v>
      </c>
      <c r="N16" s="15" t="n">
        <f aca="false">N12+N14</f>
        <v>5443.60131448413</v>
      </c>
      <c r="O16" s="15" t="n">
        <f aca="false">O12+O14</f>
        <v>5402.27124875992</v>
      </c>
      <c r="P16" s="15" t="n">
        <f aca="false">P12+P14</f>
        <v>5363.00768632193</v>
      </c>
      <c r="Q16" s="15" t="n">
        <f aca="false">Q12+Q14</f>
        <v>4995.92158772012</v>
      </c>
      <c r="R16" s="15" t="n">
        <f aca="false">R12+R14</f>
        <v>4919.26300833411</v>
      </c>
      <c r="S16" s="15" t="n">
        <f aca="false">S12+S14</f>
        <v>4846.4373579174</v>
      </c>
      <c r="T16" s="15" t="n">
        <f aca="false">T12+T14</f>
        <v>4777.25299002153</v>
      </c>
      <c r="U16" s="15" t="n">
        <f aca="false">U12+U14</f>
        <v>4711.52784052046</v>
      </c>
      <c r="V16" s="15" t="n">
        <f aca="false">V12+V14</f>
        <v>4649.08894849443</v>
      </c>
      <c r="W16" s="15" t="n">
        <f aca="false">W12+W14</f>
        <v>4589.77200106971</v>
      </c>
      <c r="X16" s="15" t="n">
        <f aca="false">X12+X14</f>
        <v>4533.42090101623</v>
      </c>
      <c r="Y16" s="15" t="n">
        <f aca="false">Y12+Y14</f>
        <v>4479.88735596541</v>
      </c>
      <c r="Z16" s="15" t="n">
        <f aca="false">Z12+Z14</f>
        <v>4172.53048816714</v>
      </c>
      <c r="AA16" s="15" t="n">
        <f aca="false">AA12+AA14</f>
        <v>4092.15396375879</v>
      </c>
      <c r="AB16" s="15" t="n">
        <f aca="false">AB12+AB14</f>
        <v>4015.79626557085</v>
      </c>
      <c r="AC16" s="15" t="n">
        <f aca="false">AC12+AC14</f>
        <v>3943.2564522923</v>
      </c>
      <c r="AD16" s="15" t="n">
        <f aca="false">AD12+AD14</f>
        <v>3874.34362967769</v>
      </c>
      <c r="AE16" s="15" t="n">
        <f aca="false">AE12+AE14</f>
        <v>3808.8764481938</v>
      </c>
      <c r="AF16" s="15" t="n">
        <f aca="false">AF12+AF14</f>
        <v>3746.68262578411</v>
      </c>
      <c r="AG16" s="15" t="n">
        <f aca="false">AG12+AG14</f>
        <v>3687.59849449491</v>
      </c>
      <c r="AH16" s="15" t="n">
        <f aca="false">AH12+AH14</f>
        <v>3631.46856977016</v>
      </c>
      <c r="AI16" s="15" t="n">
        <f aca="false">AI12+AI14</f>
        <v>3578.14514128165</v>
      </c>
      <c r="AJ16" s="15" t="n">
        <f aca="false">AJ12+AJ14</f>
        <v>3527.48788421757</v>
      </c>
      <c r="AK16" s="15" t="n">
        <f aca="false">AK12+AK14</f>
        <v>3479.36349000669</v>
      </c>
    </row>
    <row r="17" customFormat="false" ht="15" hidden="false" customHeight="false" outlineLevel="0" collapsed="false">
      <c r="A17" s="2" t="s">
        <v>144</v>
      </c>
      <c r="B17" s="18" t="n">
        <f aca="false">B16*B5*(1-Assumptions!$B$19)</f>
        <v>0</v>
      </c>
      <c r="C17" s="18" t="n">
        <f aca="false">C16*C5*(1-Assumptions!$B$19)</f>
        <v>0</v>
      </c>
      <c r="D17" s="18" t="n">
        <f aca="false">D16*D5*(1-Assumptions!$B$19)</f>
        <v>0</v>
      </c>
      <c r="E17" s="18" t="n">
        <f aca="false">E16*E5*(1-Assumptions!$B$19)</f>
        <v>0</v>
      </c>
      <c r="F17" s="18" t="n">
        <f aca="false">F16*F5*(1-Assumptions!$B$19)</f>
        <v>0</v>
      </c>
      <c r="G17" s="18" t="n">
        <f aca="false">G16*G5*(1-Assumptions!$B$19)</f>
        <v>0</v>
      </c>
      <c r="H17" s="18" t="n">
        <f aca="false">H16*H5*(1-Assumptions!$B$19)</f>
        <v>0</v>
      </c>
      <c r="I17" s="18" t="n">
        <f aca="false">I16*I5*(1-Assumptions!$B$19)</f>
        <v>0</v>
      </c>
      <c r="J17" s="18" t="n">
        <f aca="false">J16*J5*(1-Assumptions!$B$19)</f>
        <v>0</v>
      </c>
      <c r="K17" s="18" t="n">
        <f aca="false">K16*K5*(1-Assumptions!$B$19)</f>
        <v>529602.380952381</v>
      </c>
      <c r="L17" s="18" t="n">
        <f aca="false">L16*L5*(1-Assumptions!$B$19)</f>
        <v>431537.5</v>
      </c>
      <c r="M17" s="18" t="n">
        <f aca="false">M16*M5*(1-Assumptions!$B$19)</f>
        <v>746011.312830688</v>
      </c>
      <c r="N17" s="18" t="n">
        <f aca="false">N16*N5*(1-Assumptions!$B$19)</f>
        <v>250405.66046627</v>
      </c>
      <c r="O17" s="18" t="n">
        <f aca="false">O16*O5*(1-Assumptions!$B$19)</f>
        <v>248504.477442956</v>
      </c>
      <c r="P17" s="18" t="n">
        <f aca="false">P16*P5*(1-Assumptions!$B$19)</f>
        <v>246698.353570809</v>
      </c>
      <c r="Q17" s="18" t="n">
        <f aca="false">Q16*Q5*(1-Assumptions!$B$19)</f>
        <v>195340.534079857</v>
      </c>
      <c r="R17" s="18" t="n">
        <f aca="false">R16*R5*(1-Assumptions!$B$19)</f>
        <v>192343.183625864</v>
      </c>
      <c r="S17" s="18" t="n">
        <f aca="false">S16*S5*(1-Assumptions!$B$19)</f>
        <v>189495.70069457</v>
      </c>
      <c r="T17" s="18" t="n">
        <f aca="false">T16*T5*(1-Assumptions!$B$19)</f>
        <v>186790.591909842</v>
      </c>
      <c r="U17" s="18" t="n">
        <f aca="false">U16*U5*(1-Assumptions!$B$19)</f>
        <v>184220.73856435</v>
      </c>
      <c r="V17" s="18" t="n">
        <f aca="false">V16*V5*(1-Assumptions!$B$19)</f>
        <v>181779.377886132</v>
      </c>
      <c r="W17" s="18" t="n">
        <f aca="false">W16*W5*(1-Assumptions!$B$19)</f>
        <v>179460.085241826</v>
      </c>
      <c r="X17" s="18" t="n">
        <f aca="false">X16*X5*(1-Assumptions!$B$19)</f>
        <v>177256.757229734</v>
      </c>
      <c r="Y17" s="18" t="n">
        <f aca="false">Y16*Y5*(1-Assumptions!$B$19)</f>
        <v>175163.595618248</v>
      </c>
      <c r="Z17" s="18" t="n">
        <f aca="false">Z16*Z5*(1-Assumptions!$B$19)</f>
        <v>163145.942087335</v>
      </c>
      <c r="AA17" s="18" t="n">
        <f aca="false">AA16*AA5*(1-Assumptions!$B$19)</f>
        <v>160003.219982969</v>
      </c>
      <c r="AB17" s="18" t="n">
        <f aca="false">AB16*AB5*(1-Assumptions!$B$19)</f>
        <v>157017.63398382</v>
      </c>
      <c r="AC17" s="18" t="n">
        <f aca="false">AC16*AC5*(1-Assumptions!$B$19)</f>
        <v>154181.327284629</v>
      </c>
      <c r="AD17" s="18" t="n">
        <f aca="false">AD16*AD5*(1-Assumptions!$B$19)</f>
        <v>151486.835920398</v>
      </c>
      <c r="AE17" s="18" t="n">
        <f aca="false">AE16*AE5*(1-Assumptions!$B$19)</f>
        <v>148927.069124378</v>
      </c>
      <c r="AF17" s="18" t="n">
        <f aca="false">AF16*AF5*(1-Assumptions!$B$19)</f>
        <v>146495.290668159</v>
      </c>
      <c r="AG17" s="18" t="n">
        <f aca="false">AG16*AG5*(1-Assumptions!$B$19)</f>
        <v>144185.101134751</v>
      </c>
      <c r="AH17" s="18" t="n">
        <f aca="false">AH16*AH5*(1-Assumptions!$B$19)</f>
        <v>141990.421078013</v>
      </c>
      <c r="AI17" s="18" t="n">
        <f aca="false">AI16*AI5*(1-Assumptions!$B$19)</f>
        <v>139905.475024113</v>
      </c>
      <c r="AJ17" s="18" t="n">
        <f aca="false">AJ16*AJ5*(1-Assumptions!$B$19)</f>
        <v>137924.776272907</v>
      </c>
      <c r="AK17" s="18" t="n">
        <f aca="false">AK16*AK5*(1-Assumptions!$B$19)</f>
        <v>136043.112459262</v>
      </c>
    </row>
    <row r="18" customFormat="false" ht="15" hidden="false" customHeight="false" outlineLevel="0" collapsed="false">
      <c r="A18" s="2" t="s">
        <v>145</v>
      </c>
      <c r="B18" s="15" t="n">
        <f aca="false">IF(B1&gt;=Assumptions!$B$7,CHOOSE(B2,Assumptions!$D$35,Assumptions!$D$36,Assumptions!$D$37)*Assumptions!$B$5*B4,0)</f>
        <v>0</v>
      </c>
      <c r="C18" s="15" t="n">
        <f aca="false">IF(C1&gt;=Assumptions!$B$7,CHOOSE(C2,Assumptions!$D$35,Assumptions!$D$36,Assumptions!$D$37)*Assumptions!$B$5*C4,0)</f>
        <v>0</v>
      </c>
      <c r="D18" s="15" t="n">
        <f aca="false">IF(D1&gt;=Assumptions!$B$7,CHOOSE(D2,Assumptions!$D$35,Assumptions!$D$36,Assumptions!$D$37)*Assumptions!$B$5*D4,0)</f>
        <v>0</v>
      </c>
      <c r="E18" s="15" t="n">
        <f aca="false">IF(E1&gt;=Assumptions!$B$7,CHOOSE(E2,Assumptions!$D$35,Assumptions!$D$36,Assumptions!$D$37)*Assumptions!$B$5*E4,0)</f>
        <v>0</v>
      </c>
      <c r="F18" s="15" t="n">
        <f aca="false">IF(F1&gt;=Assumptions!$B$7,CHOOSE(F2,Assumptions!$D$35,Assumptions!$D$36,Assumptions!$D$37)*Assumptions!$B$5*F4,0)</f>
        <v>0</v>
      </c>
      <c r="G18" s="15" t="n">
        <f aca="false">IF(G1&gt;=Assumptions!$B$7,CHOOSE(G2,Assumptions!$D$35,Assumptions!$D$36,Assumptions!$D$37)*Assumptions!$B$5*G4,0)</f>
        <v>0</v>
      </c>
      <c r="H18" s="15" t="n">
        <f aca="false">IF(H1&gt;=Assumptions!$B$7,CHOOSE(H2,Assumptions!$D$35,Assumptions!$D$36,Assumptions!$D$37)*Assumptions!$B$5*H4,0)</f>
        <v>0</v>
      </c>
      <c r="I18" s="15" t="n">
        <f aca="false">IF(I1&gt;=Assumptions!$B$7,CHOOSE(I2,Assumptions!$D$35,Assumptions!$D$36,Assumptions!$D$37)*Assumptions!$B$5*I4,0)</f>
        <v>0</v>
      </c>
      <c r="J18" s="15" t="n">
        <f aca="false">IF(J1&gt;=Assumptions!$B$7,CHOOSE(J2,Assumptions!$D$35,Assumptions!$D$36,Assumptions!$D$37)*Assumptions!$B$5*J4,0)</f>
        <v>0</v>
      </c>
      <c r="K18" s="15" t="n">
        <f aca="false">IF(K1&gt;=Assumptions!$B$7,CHOOSE(K2,Assumptions!$D$35,Assumptions!$D$36,Assumptions!$D$37)*Assumptions!$B$5*K4,0)</f>
        <v>0</v>
      </c>
      <c r="L18" s="15" t="n">
        <f aca="false">IF(L1&gt;=Assumptions!$B$7,CHOOSE(L2,Assumptions!$D$35,Assumptions!$D$36,Assumptions!$D$37)*Assumptions!$B$5*L4,0)</f>
        <v>0</v>
      </c>
      <c r="M18" s="15" t="n">
        <f aca="false">IF(M1&gt;=Assumptions!$B$7,CHOOSE(M2,Assumptions!$D$35,Assumptions!$D$36,Assumptions!$D$37)*Assumptions!$B$5*M4,0)</f>
        <v>0</v>
      </c>
      <c r="N18" s="15" t="n">
        <f aca="false">IF(N1&gt;=Assumptions!$B$7,CHOOSE(N2,Assumptions!$D$35,Assumptions!$D$36,Assumptions!$D$37)*Assumptions!$B$5*N4,0)</f>
        <v>250</v>
      </c>
      <c r="O18" s="15" t="n">
        <f aca="false">IF(O1&gt;=Assumptions!$B$7,CHOOSE(O2,Assumptions!$D$35,Assumptions!$D$36,Assumptions!$D$37)*Assumptions!$B$5*O4,0)</f>
        <v>250</v>
      </c>
      <c r="P18" s="15" t="n">
        <f aca="false">IF(P1&gt;=Assumptions!$B$7,CHOOSE(P2,Assumptions!$D$35,Assumptions!$D$36,Assumptions!$D$37)*Assumptions!$B$5*P4,0)</f>
        <v>250</v>
      </c>
      <c r="Q18" s="15" t="n">
        <f aca="false">IF(Q1&gt;=Assumptions!$B$7,CHOOSE(Q2,Assumptions!$D$35,Assumptions!$D$36,Assumptions!$D$37)*Assumptions!$B$5*Q4,0)</f>
        <v>187.5</v>
      </c>
      <c r="R18" s="15" t="n">
        <f aca="false">IF(R1&gt;=Assumptions!$B$7,CHOOSE(R2,Assumptions!$D$35,Assumptions!$D$36,Assumptions!$D$37)*Assumptions!$B$5*R4,0)</f>
        <v>187.5</v>
      </c>
      <c r="S18" s="15" t="n">
        <f aca="false">IF(S1&gt;=Assumptions!$B$7,CHOOSE(S2,Assumptions!$D$35,Assumptions!$D$36,Assumptions!$D$37)*Assumptions!$B$5*S4,0)</f>
        <v>187.5</v>
      </c>
      <c r="T18" s="15" t="n">
        <f aca="false">IF(T1&gt;=Assumptions!$B$7,CHOOSE(T2,Assumptions!$D$35,Assumptions!$D$36,Assumptions!$D$37)*Assumptions!$B$5*T4,0)</f>
        <v>187.5</v>
      </c>
      <c r="U18" s="15" t="n">
        <f aca="false">IF(U1&gt;=Assumptions!$B$7,CHOOSE(U2,Assumptions!$D$35,Assumptions!$D$36,Assumptions!$D$37)*Assumptions!$B$5*U4,0)</f>
        <v>187.5</v>
      </c>
      <c r="V18" s="15" t="n">
        <f aca="false">IF(V1&gt;=Assumptions!$B$7,CHOOSE(V2,Assumptions!$D$35,Assumptions!$D$36,Assumptions!$D$37)*Assumptions!$B$5*V4,0)</f>
        <v>187.5</v>
      </c>
      <c r="W18" s="15" t="n">
        <f aca="false">IF(W1&gt;=Assumptions!$B$7,CHOOSE(W2,Assumptions!$D$35,Assumptions!$D$36,Assumptions!$D$37)*Assumptions!$B$5*W4,0)</f>
        <v>187.5</v>
      </c>
      <c r="X18" s="15" t="n">
        <f aca="false">IF(X1&gt;=Assumptions!$B$7,CHOOSE(X2,Assumptions!$D$35,Assumptions!$D$36,Assumptions!$D$37)*Assumptions!$B$5*X4,0)</f>
        <v>187.5</v>
      </c>
      <c r="Y18" s="15" t="n">
        <f aca="false">IF(Y1&gt;=Assumptions!$B$7,CHOOSE(Y2,Assumptions!$D$35,Assumptions!$D$36,Assumptions!$D$37)*Assumptions!$B$5*Y4,0)</f>
        <v>187.5</v>
      </c>
      <c r="Z18" s="15" t="n">
        <f aca="false">IF(Z1&gt;=Assumptions!$B$7,CHOOSE(Z2,Assumptions!$D$35,Assumptions!$D$36,Assumptions!$D$37)*Assumptions!$B$5*Z4,0)</f>
        <v>450</v>
      </c>
      <c r="AA18" s="15" t="n">
        <f aca="false">IF(AA1&gt;=Assumptions!$B$7,CHOOSE(AA2,Assumptions!$D$35,Assumptions!$D$36,Assumptions!$D$37)*Assumptions!$B$5*AA4,0)</f>
        <v>450</v>
      </c>
      <c r="AB18" s="15" t="n">
        <f aca="false">IF(AB1&gt;=Assumptions!$B$7,CHOOSE(AB2,Assumptions!$D$35,Assumptions!$D$36,Assumptions!$D$37)*Assumptions!$B$5*AB4,0)</f>
        <v>450</v>
      </c>
      <c r="AC18" s="15" t="n">
        <f aca="false">IF(AC1&gt;=Assumptions!$B$7,CHOOSE(AC2,Assumptions!$D$35,Assumptions!$D$36,Assumptions!$D$37)*Assumptions!$B$5*AC4,0)</f>
        <v>450</v>
      </c>
      <c r="AD18" s="15" t="n">
        <f aca="false">IF(AD1&gt;=Assumptions!$B$7,CHOOSE(AD2,Assumptions!$D$35,Assumptions!$D$36,Assumptions!$D$37)*Assumptions!$B$5*AD4,0)</f>
        <v>450</v>
      </c>
      <c r="AE18" s="15" t="n">
        <f aca="false">IF(AE1&gt;=Assumptions!$B$7,CHOOSE(AE2,Assumptions!$D$35,Assumptions!$D$36,Assumptions!$D$37)*Assumptions!$B$5*AE4,0)</f>
        <v>450</v>
      </c>
      <c r="AF18" s="15" t="n">
        <f aca="false">IF(AF1&gt;=Assumptions!$B$7,CHOOSE(AF2,Assumptions!$D$35,Assumptions!$D$36,Assumptions!$D$37)*Assumptions!$B$5*AF4,0)</f>
        <v>450</v>
      </c>
      <c r="AG18" s="15" t="n">
        <f aca="false">IF(AG1&gt;=Assumptions!$B$7,CHOOSE(AG2,Assumptions!$D$35,Assumptions!$D$36,Assumptions!$D$37)*Assumptions!$B$5*AG4,0)</f>
        <v>450</v>
      </c>
      <c r="AH18" s="15" t="n">
        <f aca="false">IF(AH1&gt;=Assumptions!$B$7,CHOOSE(AH2,Assumptions!$D$35,Assumptions!$D$36,Assumptions!$D$37)*Assumptions!$B$5*AH4,0)</f>
        <v>450</v>
      </c>
      <c r="AI18" s="15" t="n">
        <f aca="false">IF(AI1&gt;=Assumptions!$B$7,CHOOSE(AI2,Assumptions!$D$35,Assumptions!$D$36,Assumptions!$D$37)*Assumptions!$B$5*AI4,0)</f>
        <v>450</v>
      </c>
      <c r="AJ18" s="15" t="n">
        <f aca="false">IF(AJ1&gt;=Assumptions!$B$7,CHOOSE(AJ2,Assumptions!$D$35,Assumptions!$D$36,Assumptions!$D$37)*Assumptions!$B$5*AJ4,0)</f>
        <v>450</v>
      </c>
      <c r="AK18" s="15" t="n">
        <f aca="false">IF(AK1&gt;=Assumptions!$B$7,CHOOSE(AK2,Assumptions!$D$35,Assumptions!$D$36,Assumptions!$D$37)*Assumptions!$B$5*AK4,0)</f>
        <v>450</v>
      </c>
    </row>
    <row r="19" customFormat="false" ht="15" hidden="false" customHeight="false" outlineLevel="0" collapsed="false">
      <c r="A19" s="2" t="s">
        <v>146</v>
      </c>
      <c r="B19" s="18" t="n">
        <f aca="false">B18*B5*(1-Assumptions!$B$20)</f>
        <v>0</v>
      </c>
      <c r="C19" s="18" t="n">
        <f aca="false">C18*C5*(1-Assumptions!$B$20)</f>
        <v>0</v>
      </c>
      <c r="D19" s="18" t="n">
        <f aca="false">D18*D5*(1-Assumptions!$B$20)</f>
        <v>0</v>
      </c>
      <c r="E19" s="18" t="n">
        <f aca="false">E18*E5*(1-Assumptions!$B$20)</f>
        <v>0</v>
      </c>
      <c r="F19" s="18" t="n">
        <f aca="false">F18*F5*(1-Assumptions!$B$20)</f>
        <v>0</v>
      </c>
      <c r="G19" s="18" t="n">
        <f aca="false">G18*G5*(1-Assumptions!$B$20)</f>
        <v>0</v>
      </c>
      <c r="H19" s="18" t="n">
        <f aca="false">H18*H5*(1-Assumptions!$B$20)</f>
        <v>0</v>
      </c>
      <c r="I19" s="18" t="n">
        <f aca="false">I18*I5*(1-Assumptions!$B$20)</f>
        <v>0</v>
      </c>
      <c r="J19" s="18" t="n">
        <f aca="false">J18*J5*(1-Assumptions!$B$20)</f>
        <v>0</v>
      </c>
      <c r="K19" s="18" t="n">
        <f aca="false">K18*K5*(1-Assumptions!$B$20)</f>
        <v>0</v>
      </c>
      <c r="L19" s="18" t="n">
        <f aca="false">L18*L5*(1-Assumptions!$B$20)</f>
        <v>0</v>
      </c>
      <c r="M19" s="18" t="n">
        <f aca="false">M18*M5*(1-Assumptions!$B$20)</f>
        <v>0</v>
      </c>
      <c r="N19" s="18" t="n">
        <f aca="false">N18*N5*(1-Assumptions!$B$20)</f>
        <v>9375</v>
      </c>
      <c r="O19" s="18" t="n">
        <f aca="false">O18*O5*(1-Assumptions!$B$20)</f>
        <v>9375</v>
      </c>
      <c r="P19" s="18" t="n">
        <f aca="false">P18*P5*(1-Assumptions!$B$20)</f>
        <v>9375</v>
      </c>
      <c r="Q19" s="18" t="n">
        <f aca="false">Q18*Q5*(1-Assumptions!$B$20)</f>
        <v>5976.5625</v>
      </c>
      <c r="R19" s="18" t="n">
        <f aca="false">R18*R5*(1-Assumptions!$B$20)</f>
        <v>5976.5625</v>
      </c>
      <c r="S19" s="18" t="n">
        <f aca="false">S18*S5*(1-Assumptions!$B$20)</f>
        <v>5976.5625</v>
      </c>
      <c r="T19" s="18" t="n">
        <f aca="false">T18*T5*(1-Assumptions!$B$20)</f>
        <v>5976.5625</v>
      </c>
      <c r="U19" s="18" t="n">
        <f aca="false">U18*U5*(1-Assumptions!$B$20)</f>
        <v>5976.5625</v>
      </c>
      <c r="V19" s="18" t="n">
        <f aca="false">V18*V5*(1-Assumptions!$B$20)</f>
        <v>5976.5625</v>
      </c>
      <c r="W19" s="18" t="n">
        <f aca="false">W18*W5*(1-Assumptions!$B$20)</f>
        <v>5976.5625</v>
      </c>
      <c r="X19" s="18" t="n">
        <f aca="false">X18*X5*(1-Assumptions!$B$20)</f>
        <v>5976.5625</v>
      </c>
      <c r="Y19" s="18" t="n">
        <f aca="false">Y18*Y5*(1-Assumptions!$B$20)</f>
        <v>5976.5625</v>
      </c>
      <c r="Z19" s="18" t="n">
        <f aca="false">Z18*Z5*(1-Assumptions!$B$20)</f>
        <v>14343.75</v>
      </c>
      <c r="AA19" s="18" t="n">
        <f aca="false">AA18*AA5*(1-Assumptions!$B$20)</f>
        <v>14343.75</v>
      </c>
      <c r="AB19" s="18" t="n">
        <f aca="false">AB18*AB5*(1-Assumptions!$B$20)</f>
        <v>14343.75</v>
      </c>
      <c r="AC19" s="18" t="n">
        <f aca="false">AC18*AC5*(1-Assumptions!$B$20)</f>
        <v>14343.75</v>
      </c>
      <c r="AD19" s="18" t="n">
        <f aca="false">AD18*AD5*(1-Assumptions!$B$20)</f>
        <v>14343.75</v>
      </c>
      <c r="AE19" s="18" t="n">
        <f aca="false">AE18*AE5*(1-Assumptions!$B$20)</f>
        <v>14343.75</v>
      </c>
      <c r="AF19" s="18" t="n">
        <f aca="false">AF18*AF5*(1-Assumptions!$B$20)</f>
        <v>14343.75</v>
      </c>
      <c r="AG19" s="18" t="n">
        <f aca="false">AG18*AG5*(1-Assumptions!$B$20)</f>
        <v>14343.75</v>
      </c>
      <c r="AH19" s="18" t="n">
        <f aca="false">AH18*AH5*(1-Assumptions!$B$20)</f>
        <v>14343.75</v>
      </c>
      <c r="AI19" s="18" t="n">
        <f aca="false">AI18*AI5*(1-Assumptions!$B$20)</f>
        <v>14343.75</v>
      </c>
      <c r="AJ19" s="18" t="n">
        <f aca="false">AJ18*AJ5*(1-Assumptions!$B$20)</f>
        <v>14343.75</v>
      </c>
      <c r="AK19" s="18" t="n">
        <f aca="false">AK18*AK5*(1-Assumptions!$B$20)</f>
        <v>14343.75</v>
      </c>
    </row>
    <row r="20" customFormat="false" ht="15" hidden="false" customHeight="false" outlineLevel="0" collapsed="false">
      <c r="A20" s="2" t="s">
        <v>147</v>
      </c>
      <c r="B20" s="15" t="n">
        <f aca="false">B8+B18*Assumptions!$B$6*Assumptions!$B$9</f>
        <v>237500</v>
      </c>
      <c r="C20" s="15" t="n">
        <f aca="false">B20+C8+C18*Assumptions!$B$6*Assumptions!$B$9</f>
        <v>475000</v>
      </c>
      <c r="D20" s="15" t="n">
        <f aca="false">C20+D8+D18*Assumptions!$B$6*Assumptions!$B$9</f>
        <v>712500</v>
      </c>
      <c r="E20" s="15" t="n">
        <f aca="false">D20+E8+E18*Assumptions!$B$6*Assumptions!$B$9</f>
        <v>756041.666666667</v>
      </c>
      <c r="F20" s="15" t="n">
        <f aca="false">E20+F8+F18*Assumptions!$B$6*Assumptions!$B$9</f>
        <v>799583.333333333</v>
      </c>
      <c r="G20" s="15" t="n">
        <f aca="false">F20+G8+G18*Assumptions!$B$6*Assumptions!$B$9</f>
        <v>843125</v>
      </c>
      <c r="H20" s="15" t="n">
        <f aca="false">G20+H8+H18*Assumptions!$B$6*Assumptions!$B$9</f>
        <v>886666.666666667</v>
      </c>
      <c r="I20" s="15" t="n">
        <f aca="false">H20+I8+I18*Assumptions!$B$6*Assumptions!$B$9</f>
        <v>930208.333333333</v>
      </c>
      <c r="J20" s="15" t="n">
        <f aca="false">I20+J8+J18*Assumptions!$B$6*Assumptions!$B$9</f>
        <v>973750</v>
      </c>
      <c r="K20" s="15" t="n">
        <f aca="false">J20+K8+K18*Assumptions!$B$6*Assumptions!$B$9</f>
        <v>1017291.66666667</v>
      </c>
      <c r="L20" s="15" t="n">
        <f aca="false">K20+L8+L18*Assumptions!$B$6*Assumptions!$B$9</f>
        <v>1060833.33333333</v>
      </c>
      <c r="M20" s="15" t="n">
        <f aca="false">L20+M8+M18*Assumptions!$B$6*Assumptions!$B$9</f>
        <v>1104375</v>
      </c>
      <c r="N20" s="15" t="n">
        <f aca="false">M20+N8+N18*Assumptions!$B$6*Assumptions!$B$9</f>
        <v>1130462.5</v>
      </c>
      <c r="O20" s="15" t="n">
        <f aca="false">N20+O8+O18*Assumptions!$B$6*Assumptions!$B$9</f>
        <v>1156550</v>
      </c>
      <c r="P20" s="15" t="n">
        <f aca="false">O20+P8+P18*Assumptions!$B$6*Assumptions!$B$9</f>
        <v>1182637.5</v>
      </c>
      <c r="Q20" s="15" t="n">
        <f aca="false">P20+Q8+Q18*Assumptions!$B$6*Assumptions!$B$9</f>
        <v>1202203.125</v>
      </c>
      <c r="R20" s="15" t="n">
        <f aca="false">Q20+R8+R18*Assumptions!$B$6*Assumptions!$B$9</f>
        <v>1221768.75</v>
      </c>
      <c r="S20" s="15" t="n">
        <f aca="false">R20+S8+S18*Assumptions!$B$6*Assumptions!$B$9</f>
        <v>1241334.375</v>
      </c>
      <c r="T20" s="15" t="n">
        <f aca="false">S20+T8+T18*Assumptions!$B$6*Assumptions!$B$9</f>
        <v>1260900</v>
      </c>
      <c r="U20" s="15" t="n">
        <f aca="false">T20+U8+U18*Assumptions!$B$6*Assumptions!$B$9</f>
        <v>1280465.625</v>
      </c>
      <c r="V20" s="15" t="n">
        <f aca="false">U20+V8+V18*Assumptions!$B$6*Assumptions!$B$9</f>
        <v>1300031.25</v>
      </c>
      <c r="W20" s="15" t="n">
        <f aca="false">V20+W8+W18*Assumptions!$B$6*Assumptions!$B$9</f>
        <v>1319596.875</v>
      </c>
      <c r="X20" s="15" t="n">
        <f aca="false">W20+X8+X18*Assumptions!$B$6*Assumptions!$B$9</f>
        <v>1339162.5</v>
      </c>
      <c r="Y20" s="15" t="n">
        <f aca="false">X20+Y8+Y18*Assumptions!$B$6*Assumptions!$B$9</f>
        <v>1358728.125</v>
      </c>
      <c r="Z20" s="15" t="n">
        <f aca="false">Y20+Z8+Z18*Assumptions!$B$6*Assumptions!$B$9</f>
        <v>1373765.625</v>
      </c>
      <c r="AA20" s="15" t="n">
        <f aca="false">Z20+AA8+AA18*Assumptions!$B$6*Assumptions!$B$9</f>
        <v>1388803.125</v>
      </c>
      <c r="AB20" s="15" t="n">
        <f aca="false">AA20+AB8+AB18*Assumptions!$B$6*Assumptions!$B$9</f>
        <v>1403840.625</v>
      </c>
      <c r="AC20" s="15" t="n">
        <f aca="false">AB20+AC8+AC18*Assumptions!$B$6*Assumptions!$B$9</f>
        <v>1418878.125</v>
      </c>
      <c r="AD20" s="15" t="n">
        <f aca="false">AC20+AD8+AD18*Assumptions!$B$6*Assumptions!$B$9</f>
        <v>1433915.625</v>
      </c>
      <c r="AE20" s="15" t="n">
        <f aca="false">AD20+AE8+AE18*Assumptions!$B$6*Assumptions!$B$9</f>
        <v>1448953.125</v>
      </c>
      <c r="AF20" s="15" t="n">
        <f aca="false">AE20+AF8+AF18*Assumptions!$B$6*Assumptions!$B$9</f>
        <v>1463990.625</v>
      </c>
      <c r="AG20" s="15" t="n">
        <f aca="false">AF20+AG8+AG18*Assumptions!$B$6*Assumptions!$B$9</f>
        <v>1479028.125</v>
      </c>
      <c r="AH20" s="15" t="n">
        <f aca="false">AG20+AH8+AH18*Assumptions!$B$6*Assumptions!$B$9</f>
        <v>1494065.625</v>
      </c>
      <c r="AI20" s="15" t="n">
        <f aca="false">AH20+AI8+AI18*Assumptions!$B$6*Assumptions!$B$9</f>
        <v>1509103.125</v>
      </c>
      <c r="AJ20" s="15" t="n">
        <f aca="false">AI20+AJ8+AJ18*Assumptions!$B$6*Assumptions!$B$9</f>
        <v>1524140.625</v>
      </c>
      <c r="AK20" s="15" t="n">
        <f aca="false">AJ20+AK8+AK18*Assumptions!$B$6*Assumptions!$B$9</f>
        <v>1539178.125</v>
      </c>
    </row>
    <row r="21" customFormat="false" ht="15" hidden="false" customHeight="false" outlineLevel="0" collapsed="false">
      <c r="A21" s="2" t="s">
        <v>148</v>
      </c>
      <c r="B21" s="15" t="n">
        <f aca="false">B8+Assumptions!$B$8*B20</f>
        <v>256500</v>
      </c>
      <c r="C21" s="15" t="n">
        <f aca="false">C8+Assumptions!$B$8*C20</f>
        <v>275500</v>
      </c>
      <c r="D21" s="15" t="n">
        <f aca="false">D8+Assumptions!$B$8*D20</f>
        <v>294500</v>
      </c>
      <c r="E21" s="15" t="n">
        <f aca="false">E8+Assumptions!$B$8*E20</f>
        <v>104025</v>
      </c>
      <c r="F21" s="15" t="n">
        <f aca="false">F8+Assumptions!$B$8*F20</f>
        <v>107508.333333333</v>
      </c>
      <c r="G21" s="15" t="n">
        <f aca="false">G8+Assumptions!$B$8*G20</f>
        <v>110991.666666667</v>
      </c>
      <c r="H21" s="15" t="n">
        <f aca="false">H8+Assumptions!$B$8*H20</f>
        <v>114475</v>
      </c>
      <c r="I21" s="15" t="n">
        <f aca="false">I8+Assumptions!$B$8*I20</f>
        <v>117958.333333333</v>
      </c>
      <c r="J21" s="15" t="n">
        <f aca="false">J8+Assumptions!$B$8*J20</f>
        <v>121441.666666667</v>
      </c>
      <c r="K21" s="15" t="n">
        <f aca="false">K8+Assumptions!$B$8*K20</f>
        <v>124925</v>
      </c>
      <c r="L21" s="15" t="n">
        <f aca="false">L8+Assumptions!$B$8*L20</f>
        <v>128408.333333333</v>
      </c>
      <c r="M21" s="15" t="n">
        <f aca="false">M8+Assumptions!$B$8*M20</f>
        <v>131891.666666667</v>
      </c>
      <c r="N21" s="15" t="n">
        <f aca="false">N8+Assumptions!$B$8*N20</f>
        <v>116087</v>
      </c>
      <c r="O21" s="15" t="n">
        <f aca="false">O8+Assumptions!$B$8*O20</f>
        <v>118174</v>
      </c>
      <c r="P21" s="15" t="n">
        <f aca="false">P8+Assumptions!$B$8*P20</f>
        <v>120261</v>
      </c>
      <c r="Q21" s="15" t="n">
        <f aca="false">Q8+Assumptions!$B$8*Q20</f>
        <v>115413.75</v>
      </c>
      <c r="R21" s="15" t="n">
        <f aca="false">R8+Assumptions!$B$8*R20</f>
        <v>116979</v>
      </c>
      <c r="S21" s="15" t="n">
        <f aca="false">S8+Assumptions!$B$8*S20</f>
        <v>118544.25</v>
      </c>
      <c r="T21" s="15" t="n">
        <f aca="false">T8+Assumptions!$B$8*T20</f>
        <v>120109.5</v>
      </c>
      <c r="U21" s="15" t="n">
        <f aca="false">U8+Assumptions!$B$8*U20</f>
        <v>121674.75</v>
      </c>
      <c r="V21" s="15" t="n">
        <f aca="false">V8+Assumptions!$B$8*V20</f>
        <v>123240</v>
      </c>
      <c r="W21" s="15" t="n">
        <f aca="false">W8+Assumptions!$B$8*W20</f>
        <v>124805.25</v>
      </c>
      <c r="X21" s="15" t="n">
        <f aca="false">X8+Assumptions!$B$8*X20</f>
        <v>126370.5</v>
      </c>
      <c r="Y21" s="15" t="n">
        <f aca="false">Y8+Assumptions!$B$8*Y20</f>
        <v>127935.75</v>
      </c>
      <c r="Z21" s="15" t="n">
        <f aca="false">Z8+Assumptions!$B$8*Z20</f>
        <v>124151.25</v>
      </c>
      <c r="AA21" s="15" t="n">
        <f aca="false">AA8+Assumptions!$B$8*AA20</f>
        <v>125354.25</v>
      </c>
      <c r="AB21" s="15" t="n">
        <f aca="false">AB8+Assumptions!$B$8*AB20</f>
        <v>126557.25</v>
      </c>
      <c r="AC21" s="15" t="n">
        <f aca="false">AC8+Assumptions!$B$8*AC20</f>
        <v>127760.25</v>
      </c>
      <c r="AD21" s="15" t="n">
        <f aca="false">AD8+Assumptions!$B$8*AD20</f>
        <v>128963.25</v>
      </c>
      <c r="AE21" s="15" t="n">
        <f aca="false">AE8+Assumptions!$B$8*AE20</f>
        <v>130166.25</v>
      </c>
      <c r="AF21" s="15" t="n">
        <f aca="false">AF8+Assumptions!$B$8*AF20</f>
        <v>131369.25</v>
      </c>
      <c r="AG21" s="15" t="n">
        <f aca="false">AG8+Assumptions!$B$8*AG20</f>
        <v>132572.25</v>
      </c>
      <c r="AH21" s="15" t="n">
        <f aca="false">AH8+Assumptions!$B$8*AH20</f>
        <v>133775.25</v>
      </c>
      <c r="AI21" s="15" t="n">
        <f aca="false">AI8+Assumptions!$B$8*AI20</f>
        <v>134978.25</v>
      </c>
      <c r="AJ21" s="15" t="n">
        <f aca="false">AJ8+Assumptions!$B$8*AJ20</f>
        <v>136181.25</v>
      </c>
      <c r="AK21" s="15" t="n">
        <f aca="false">AK8+Assumptions!$B$8*AK20</f>
        <v>137384.25</v>
      </c>
    </row>
    <row r="22" customFormat="false" ht="15" hidden="false" customHeight="false" outlineLevel="0" collapsed="false">
      <c r="A22" s="2" t="s">
        <v>149</v>
      </c>
      <c r="B22" s="18" t="n">
        <f aca="false">IF(B1&gt;=Assumptions!$B$7,B21/1000*Assumptions!$D$50,0)</f>
        <v>0</v>
      </c>
      <c r="C22" s="18" t="n">
        <f aca="false">IF(C1&gt;=Assumptions!$B$7,C21/1000*Assumptions!$D$50,0)</f>
        <v>0</v>
      </c>
      <c r="D22" s="18" t="n">
        <f aca="false">IF(D1&gt;=Assumptions!$B$7,D21/1000*Assumptions!$D$50,0)</f>
        <v>0</v>
      </c>
      <c r="E22" s="18" t="n">
        <f aca="false">IF(E1&gt;=Assumptions!$B$7,E21/1000*Assumptions!$D$50,0)</f>
        <v>0</v>
      </c>
      <c r="F22" s="18" t="n">
        <f aca="false">IF(F1&gt;=Assumptions!$B$7,F21/1000*Assumptions!$D$50,0)</f>
        <v>0</v>
      </c>
      <c r="G22" s="18" t="n">
        <f aca="false">IF(G1&gt;=Assumptions!$B$7,G21/1000*Assumptions!$D$50,0)</f>
        <v>0</v>
      </c>
      <c r="H22" s="18" t="n">
        <f aca="false">IF(H1&gt;=Assumptions!$B$7,H21/1000*Assumptions!$D$50,0)</f>
        <v>0</v>
      </c>
      <c r="I22" s="18" t="n">
        <f aca="false">IF(I1&gt;=Assumptions!$B$7,I21/1000*Assumptions!$D$50,0)</f>
        <v>0</v>
      </c>
      <c r="J22" s="18" t="n">
        <f aca="false">IF(J1&gt;=Assumptions!$B$7,J21/1000*Assumptions!$D$50,0)</f>
        <v>0</v>
      </c>
      <c r="K22" s="18" t="n">
        <f aca="false">IF(K1&gt;=Assumptions!$B$7,K21/1000*Assumptions!$D$50,0)</f>
        <v>9994</v>
      </c>
      <c r="L22" s="18" t="n">
        <f aca="false">IF(L1&gt;=Assumptions!$B$7,L21/1000*Assumptions!$D$50,0)</f>
        <v>10272.6666666667</v>
      </c>
      <c r="M22" s="18" t="n">
        <f aca="false">IF(M1&gt;=Assumptions!$B$7,M21/1000*Assumptions!$D$50,0)</f>
        <v>10551.3333333333</v>
      </c>
      <c r="N22" s="18" t="n">
        <f aca="false">IF(N1&gt;=Assumptions!$B$7,N21/1000*Assumptions!$D$50,0)</f>
        <v>9286.96</v>
      </c>
      <c r="O22" s="18" t="n">
        <f aca="false">IF(O1&gt;=Assumptions!$B$7,O21/1000*Assumptions!$D$50,0)</f>
        <v>9453.92</v>
      </c>
      <c r="P22" s="18" t="n">
        <f aca="false">IF(P1&gt;=Assumptions!$B$7,P21/1000*Assumptions!$D$50,0)</f>
        <v>9620.88</v>
      </c>
      <c r="Q22" s="18" t="n">
        <f aca="false">IF(Q1&gt;=Assumptions!$B$7,Q21/1000*Assumptions!$D$50,0)</f>
        <v>9233.1</v>
      </c>
      <c r="R22" s="18" t="n">
        <f aca="false">IF(R1&gt;=Assumptions!$B$7,R21/1000*Assumptions!$D$50,0)</f>
        <v>9358.32</v>
      </c>
      <c r="S22" s="18" t="n">
        <f aca="false">IF(S1&gt;=Assumptions!$B$7,S21/1000*Assumptions!$D$50,0)</f>
        <v>9483.54</v>
      </c>
      <c r="T22" s="18" t="n">
        <f aca="false">IF(T1&gt;=Assumptions!$B$7,T21/1000*Assumptions!$D$50,0)</f>
        <v>9608.76</v>
      </c>
      <c r="U22" s="18" t="n">
        <f aca="false">IF(U1&gt;=Assumptions!$B$7,U21/1000*Assumptions!$D$50,0)</f>
        <v>9733.98</v>
      </c>
      <c r="V22" s="18" t="n">
        <f aca="false">IF(V1&gt;=Assumptions!$B$7,V21/1000*Assumptions!$D$50,0)</f>
        <v>9859.2</v>
      </c>
      <c r="W22" s="18" t="n">
        <f aca="false">IF(W1&gt;=Assumptions!$B$7,W21/1000*Assumptions!$D$50,0)</f>
        <v>9984.42</v>
      </c>
      <c r="X22" s="18" t="n">
        <f aca="false">IF(X1&gt;=Assumptions!$B$7,X21/1000*Assumptions!$D$50,0)</f>
        <v>10109.64</v>
      </c>
      <c r="Y22" s="18" t="n">
        <f aca="false">IF(Y1&gt;=Assumptions!$B$7,Y21/1000*Assumptions!$D$50,0)</f>
        <v>10234.86</v>
      </c>
      <c r="Z22" s="18" t="n">
        <f aca="false">IF(Z1&gt;=Assumptions!$B$7,Z21/1000*Assumptions!$D$50,0)</f>
        <v>9932.1</v>
      </c>
      <c r="AA22" s="18" t="n">
        <f aca="false">IF(AA1&gt;=Assumptions!$B$7,AA21/1000*Assumptions!$D$50,0)</f>
        <v>10028.34</v>
      </c>
      <c r="AB22" s="18" t="n">
        <f aca="false">IF(AB1&gt;=Assumptions!$B$7,AB21/1000*Assumptions!$D$50,0)</f>
        <v>10124.58</v>
      </c>
      <c r="AC22" s="18" t="n">
        <f aca="false">IF(AC1&gt;=Assumptions!$B$7,AC21/1000*Assumptions!$D$50,0)</f>
        <v>10220.82</v>
      </c>
      <c r="AD22" s="18" t="n">
        <f aca="false">IF(AD1&gt;=Assumptions!$B$7,AD21/1000*Assumptions!$D$50,0)</f>
        <v>10317.06</v>
      </c>
      <c r="AE22" s="18" t="n">
        <f aca="false">IF(AE1&gt;=Assumptions!$B$7,AE21/1000*Assumptions!$D$50,0)</f>
        <v>10413.3</v>
      </c>
      <c r="AF22" s="18" t="n">
        <f aca="false">IF(AF1&gt;=Assumptions!$B$7,AF21/1000*Assumptions!$D$50,0)</f>
        <v>10509.54</v>
      </c>
      <c r="AG22" s="18" t="n">
        <f aca="false">IF(AG1&gt;=Assumptions!$B$7,AG21/1000*Assumptions!$D$50,0)</f>
        <v>10605.78</v>
      </c>
      <c r="AH22" s="18" t="n">
        <f aca="false">IF(AH1&gt;=Assumptions!$B$7,AH21/1000*Assumptions!$D$50,0)</f>
        <v>10702.02</v>
      </c>
      <c r="AI22" s="18" t="n">
        <f aca="false">IF(AI1&gt;=Assumptions!$B$7,AI21/1000*Assumptions!$D$50,0)</f>
        <v>10798.26</v>
      </c>
      <c r="AJ22" s="18" t="n">
        <f aca="false">IF(AJ1&gt;=Assumptions!$B$7,AJ21/1000*Assumptions!$D$50,0)</f>
        <v>10894.5</v>
      </c>
      <c r="AK22" s="18" t="n">
        <f aca="false">IF(AK1&gt;=Assumptions!$B$7,AK21/1000*Assumptions!$D$50,0)</f>
        <v>10990.74</v>
      </c>
    </row>
    <row r="23" customFormat="false" ht="15" hidden="false" customHeight="false" outlineLevel="0" collapsed="false">
      <c r="A23" s="2" t="s">
        <v>150</v>
      </c>
      <c r="B23" s="18" t="n">
        <f aca="false">IF(B1&gt;=Assumptions!$B$7,CHOOSE(B2,Assumptions!$D$43,Assumptions!$D$44,Assumptions!$D$45)*Assumptions!$D$42/12,0)</f>
        <v>0</v>
      </c>
      <c r="C23" s="18" t="n">
        <f aca="false">IF(C1&gt;=Assumptions!$B$7,CHOOSE(C2,Assumptions!$D$43,Assumptions!$D$44,Assumptions!$D$45)*Assumptions!$D$42/12,0)</f>
        <v>0</v>
      </c>
      <c r="D23" s="18" t="n">
        <f aca="false">IF(D1&gt;=Assumptions!$B$7,CHOOSE(D2,Assumptions!$D$43,Assumptions!$D$44,Assumptions!$D$45)*Assumptions!$D$42/12,0)</f>
        <v>0</v>
      </c>
      <c r="E23" s="18" t="n">
        <f aca="false">IF(E1&gt;=Assumptions!$B$7,CHOOSE(E2,Assumptions!$D$43,Assumptions!$D$44,Assumptions!$D$45)*Assumptions!$D$42/12,0)</f>
        <v>0</v>
      </c>
      <c r="F23" s="18" t="n">
        <f aca="false">IF(F1&gt;=Assumptions!$B$7,CHOOSE(F2,Assumptions!$D$43,Assumptions!$D$44,Assumptions!$D$45)*Assumptions!$D$42/12,0)</f>
        <v>0</v>
      </c>
      <c r="G23" s="18" t="n">
        <f aca="false">IF(G1&gt;=Assumptions!$B$7,CHOOSE(G2,Assumptions!$D$43,Assumptions!$D$44,Assumptions!$D$45)*Assumptions!$D$42/12,0)</f>
        <v>0</v>
      </c>
      <c r="H23" s="18" t="n">
        <f aca="false">IF(H1&gt;=Assumptions!$B$7,CHOOSE(H2,Assumptions!$D$43,Assumptions!$D$44,Assumptions!$D$45)*Assumptions!$D$42/12,0)</f>
        <v>0</v>
      </c>
      <c r="I23" s="18" t="n">
        <f aca="false">IF(I1&gt;=Assumptions!$B$7,CHOOSE(I2,Assumptions!$D$43,Assumptions!$D$44,Assumptions!$D$45)*Assumptions!$D$42/12,0)</f>
        <v>0</v>
      </c>
      <c r="J23" s="18" t="n">
        <f aca="false">IF(J1&gt;=Assumptions!$B$7,CHOOSE(J2,Assumptions!$D$43,Assumptions!$D$44,Assumptions!$D$45)*Assumptions!$D$42/12,0)</f>
        <v>0</v>
      </c>
      <c r="K23" s="18" t="n">
        <f aca="false">IF(K1&gt;=Assumptions!$B$7,CHOOSE(K2,Assumptions!$D$43,Assumptions!$D$44,Assumptions!$D$45)*Assumptions!$D$42/12,0)</f>
        <v>26666.6666666667</v>
      </c>
      <c r="L23" s="18" t="n">
        <f aca="false">IF(L1&gt;=Assumptions!$B$7,CHOOSE(L2,Assumptions!$D$43,Assumptions!$D$44,Assumptions!$D$45)*Assumptions!$D$42/12,0)</f>
        <v>26666.6666666667</v>
      </c>
      <c r="M23" s="18" t="n">
        <f aca="false">IF(M1&gt;=Assumptions!$B$7,CHOOSE(M2,Assumptions!$D$43,Assumptions!$D$44,Assumptions!$D$45)*Assumptions!$D$42/12,0)</f>
        <v>26666.6666666667</v>
      </c>
      <c r="N23" s="18" t="n">
        <f aca="false">IF(N1&gt;=Assumptions!$B$7,CHOOSE(N2,Assumptions!$D$43,Assumptions!$D$44,Assumptions!$D$45)*Assumptions!$D$42/12,0)</f>
        <v>33333.3333333333</v>
      </c>
      <c r="O23" s="18" t="n">
        <f aca="false">IF(O1&gt;=Assumptions!$B$7,CHOOSE(O2,Assumptions!$D$43,Assumptions!$D$44,Assumptions!$D$45)*Assumptions!$D$42/12,0)</f>
        <v>33333.3333333333</v>
      </c>
      <c r="P23" s="18" t="n">
        <f aca="false">IF(P1&gt;=Assumptions!$B$7,CHOOSE(P2,Assumptions!$D$43,Assumptions!$D$44,Assumptions!$D$45)*Assumptions!$D$42/12,0)</f>
        <v>33333.3333333333</v>
      </c>
      <c r="Q23" s="18" t="n">
        <f aca="false">IF(Q1&gt;=Assumptions!$B$7,CHOOSE(Q2,Assumptions!$D$43,Assumptions!$D$44,Assumptions!$D$45)*Assumptions!$D$42/12,0)</f>
        <v>33333.3333333333</v>
      </c>
      <c r="R23" s="18" t="n">
        <f aca="false">IF(R1&gt;=Assumptions!$B$7,CHOOSE(R2,Assumptions!$D$43,Assumptions!$D$44,Assumptions!$D$45)*Assumptions!$D$42/12,0)</f>
        <v>33333.3333333333</v>
      </c>
      <c r="S23" s="18" t="n">
        <f aca="false">IF(S1&gt;=Assumptions!$B$7,CHOOSE(S2,Assumptions!$D$43,Assumptions!$D$44,Assumptions!$D$45)*Assumptions!$D$42/12,0)</f>
        <v>33333.3333333333</v>
      </c>
      <c r="T23" s="18" t="n">
        <f aca="false">IF(T1&gt;=Assumptions!$B$7,CHOOSE(T2,Assumptions!$D$43,Assumptions!$D$44,Assumptions!$D$45)*Assumptions!$D$42/12,0)</f>
        <v>33333.3333333333</v>
      </c>
      <c r="U23" s="18" t="n">
        <f aca="false">IF(U1&gt;=Assumptions!$B$7,CHOOSE(U2,Assumptions!$D$43,Assumptions!$D$44,Assumptions!$D$45)*Assumptions!$D$42/12,0)</f>
        <v>33333.3333333333</v>
      </c>
      <c r="V23" s="18" t="n">
        <f aca="false">IF(V1&gt;=Assumptions!$B$7,CHOOSE(V2,Assumptions!$D$43,Assumptions!$D$44,Assumptions!$D$45)*Assumptions!$D$42/12,0)</f>
        <v>33333.3333333333</v>
      </c>
      <c r="W23" s="18" t="n">
        <f aca="false">IF(W1&gt;=Assumptions!$B$7,CHOOSE(W2,Assumptions!$D$43,Assumptions!$D$44,Assumptions!$D$45)*Assumptions!$D$42/12,0)</f>
        <v>33333.3333333333</v>
      </c>
      <c r="X23" s="18" t="n">
        <f aca="false">IF(X1&gt;=Assumptions!$B$7,CHOOSE(X2,Assumptions!$D$43,Assumptions!$D$44,Assumptions!$D$45)*Assumptions!$D$42/12,0)</f>
        <v>33333.3333333333</v>
      </c>
      <c r="Y23" s="18" t="n">
        <f aca="false">IF(Y1&gt;=Assumptions!$B$7,CHOOSE(Y2,Assumptions!$D$43,Assumptions!$D$44,Assumptions!$D$45)*Assumptions!$D$42/12,0)</f>
        <v>33333.3333333333</v>
      </c>
      <c r="Z23" s="18" t="n">
        <f aca="false">IF(Z1&gt;=Assumptions!$B$7,CHOOSE(Z2,Assumptions!$D$43,Assumptions!$D$44,Assumptions!$D$45)*Assumptions!$D$42/12,0)</f>
        <v>33333.3333333333</v>
      </c>
      <c r="AA23" s="18" t="n">
        <f aca="false">IF(AA1&gt;=Assumptions!$B$7,CHOOSE(AA2,Assumptions!$D$43,Assumptions!$D$44,Assumptions!$D$45)*Assumptions!$D$42/12,0)</f>
        <v>33333.3333333333</v>
      </c>
      <c r="AB23" s="18" t="n">
        <f aca="false">IF(AB1&gt;=Assumptions!$B$7,CHOOSE(AB2,Assumptions!$D$43,Assumptions!$D$44,Assumptions!$D$45)*Assumptions!$D$42/12,0)</f>
        <v>33333.3333333333</v>
      </c>
      <c r="AC23" s="18" t="n">
        <f aca="false">IF(AC1&gt;=Assumptions!$B$7,CHOOSE(AC2,Assumptions!$D$43,Assumptions!$D$44,Assumptions!$D$45)*Assumptions!$D$42/12,0)</f>
        <v>33333.3333333333</v>
      </c>
      <c r="AD23" s="18" t="n">
        <f aca="false">IF(AD1&gt;=Assumptions!$B$7,CHOOSE(AD2,Assumptions!$D$43,Assumptions!$D$44,Assumptions!$D$45)*Assumptions!$D$42/12,0)</f>
        <v>33333.3333333333</v>
      </c>
      <c r="AE23" s="18" t="n">
        <f aca="false">IF(AE1&gt;=Assumptions!$B$7,CHOOSE(AE2,Assumptions!$D$43,Assumptions!$D$44,Assumptions!$D$45)*Assumptions!$D$42/12,0)</f>
        <v>33333.3333333333</v>
      </c>
      <c r="AF23" s="18" t="n">
        <f aca="false">IF(AF1&gt;=Assumptions!$B$7,CHOOSE(AF2,Assumptions!$D$43,Assumptions!$D$44,Assumptions!$D$45)*Assumptions!$D$42/12,0)</f>
        <v>33333.3333333333</v>
      </c>
      <c r="AG23" s="18" t="n">
        <f aca="false">IF(AG1&gt;=Assumptions!$B$7,CHOOSE(AG2,Assumptions!$D$43,Assumptions!$D$44,Assumptions!$D$45)*Assumptions!$D$42/12,0)</f>
        <v>33333.3333333333</v>
      </c>
      <c r="AH23" s="18" t="n">
        <f aca="false">IF(AH1&gt;=Assumptions!$B$7,CHOOSE(AH2,Assumptions!$D$43,Assumptions!$D$44,Assumptions!$D$45)*Assumptions!$D$42/12,0)</f>
        <v>33333.3333333333</v>
      </c>
      <c r="AI23" s="18" t="n">
        <f aca="false">IF(AI1&gt;=Assumptions!$B$7,CHOOSE(AI2,Assumptions!$D$43,Assumptions!$D$44,Assumptions!$D$45)*Assumptions!$D$42/12,0)</f>
        <v>33333.3333333333</v>
      </c>
      <c r="AJ23" s="18" t="n">
        <f aca="false">IF(AJ1&gt;=Assumptions!$B$7,CHOOSE(AJ2,Assumptions!$D$43,Assumptions!$D$44,Assumptions!$D$45)*Assumptions!$D$42/12,0)</f>
        <v>33333.3333333333</v>
      </c>
      <c r="AK23" s="18" t="n">
        <f aca="false">IF(AK1&gt;=Assumptions!$B$7,CHOOSE(AK2,Assumptions!$D$43,Assumptions!$D$44,Assumptions!$D$45)*Assumptions!$D$42/12,0)</f>
        <v>33333.3333333333</v>
      </c>
    </row>
    <row r="24" customFormat="false" ht="15" hidden="false" customHeight="false" outlineLevel="0" collapsed="false">
      <c r="A24" s="2" t="s">
        <v>151</v>
      </c>
      <c r="B24" s="18" t="n">
        <f aca="false">CHOOSE(B2,Assumptions!$D$46,Assumptions!$D$47,Assumptions!$D$48)*Assumptions!$D$49/12</f>
        <v>6666.66666666667</v>
      </c>
      <c r="C24" s="18" t="n">
        <f aca="false">CHOOSE(C2,Assumptions!$D$46,Assumptions!$D$47,Assumptions!$D$48)*Assumptions!$D$49/12</f>
        <v>6666.66666666667</v>
      </c>
      <c r="D24" s="18" t="n">
        <f aca="false">CHOOSE(D2,Assumptions!$D$46,Assumptions!$D$47,Assumptions!$D$48)*Assumptions!$D$49/12</f>
        <v>6666.66666666667</v>
      </c>
      <c r="E24" s="18" t="n">
        <f aca="false">CHOOSE(E2,Assumptions!$D$46,Assumptions!$D$47,Assumptions!$D$48)*Assumptions!$D$49/12</f>
        <v>6666.66666666667</v>
      </c>
      <c r="F24" s="18" t="n">
        <f aca="false">CHOOSE(F2,Assumptions!$D$46,Assumptions!$D$47,Assumptions!$D$48)*Assumptions!$D$49/12</f>
        <v>6666.66666666667</v>
      </c>
      <c r="G24" s="18" t="n">
        <f aca="false">CHOOSE(G2,Assumptions!$D$46,Assumptions!$D$47,Assumptions!$D$48)*Assumptions!$D$49/12</f>
        <v>6666.66666666667</v>
      </c>
      <c r="H24" s="18" t="n">
        <f aca="false">CHOOSE(H2,Assumptions!$D$46,Assumptions!$D$47,Assumptions!$D$48)*Assumptions!$D$49/12</f>
        <v>6666.66666666667</v>
      </c>
      <c r="I24" s="18" t="n">
        <f aca="false">CHOOSE(I2,Assumptions!$D$46,Assumptions!$D$47,Assumptions!$D$48)*Assumptions!$D$49/12</f>
        <v>6666.66666666667</v>
      </c>
      <c r="J24" s="18" t="n">
        <f aca="false">CHOOSE(J2,Assumptions!$D$46,Assumptions!$D$47,Assumptions!$D$48)*Assumptions!$D$49/12</f>
        <v>6666.66666666667</v>
      </c>
      <c r="K24" s="18" t="n">
        <f aca="false">CHOOSE(K2,Assumptions!$D$46,Assumptions!$D$47,Assumptions!$D$48)*Assumptions!$D$49/12</f>
        <v>6666.66666666667</v>
      </c>
      <c r="L24" s="18" t="n">
        <f aca="false">CHOOSE(L2,Assumptions!$D$46,Assumptions!$D$47,Assumptions!$D$48)*Assumptions!$D$49/12</f>
        <v>6666.66666666667</v>
      </c>
      <c r="M24" s="18" t="n">
        <f aca="false">CHOOSE(M2,Assumptions!$D$46,Assumptions!$D$47,Assumptions!$D$48)*Assumptions!$D$49/12</f>
        <v>6666.66666666667</v>
      </c>
      <c r="N24" s="18" t="n">
        <f aca="false">CHOOSE(N2,Assumptions!$D$46,Assumptions!$D$47,Assumptions!$D$48)*Assumptions!$D$49/12</f>
        <v>20000</v>
      </c>
      <c r="O24" s="18" t="n">
        <f aca="false">CHOOSE(O2,Assumptions!$D$46,Assumptions!$D$47,Assumptions!$D$48)*Assumptions!$D$49/12</f>
        <v>20000</v>
      </c>
      <c r="P24" s="18" t="n">
        <f aca="false">CHOOSE(P2,Assumptions!$D$46,Assumptions!$D$47,Assumptions!$D$48)*Assumptions!$D$49/12</f>
        <v>20000</v>
      </c>
      <c r="Q24" s="18" t="n">
        <f aca="false">CHOOSE(Q2,Assumptions!$D$46,Assumptions!$D$47,Assumptions!$D$48)*Assumptions!$D$49/12</f>
        <v>20000</v>
      </c>
      <c r="R24" s="18" t="n">
        <f aca="false">CHOOSE(R2,Assumptions!$D$46,Assumptions!$D$47,Assumptions!$D$48)*Assumptions!$D$49/12</f>
        <v>20000</v>
      </c>
      <c r="S24" s="18" t="n">
        <f aca="false">CHOOSE(S2,Assumptions!$D$46,Assumptions!$D$47,Assumptions!$D$48)*Assumptions!$D$49/12</f>
        <v>20000</v>
      </c>
      <c r="T24" s="18" t="n">
        <f aca="false">CHOOSE(T2,Assumptions!$D$46,Assumptions!$D$47,Assumptions!$D$48)*Assumptions!$D$49/12</f>
        <v>20000</v>
      </c>
      <c r="U24" s="18" t="n">
        <f aca="false">CHOOSE(U2,Assumptions!$D$46,Assumptions!$D$47,Assumptions!$D$48)*Assumptions!$D$49/12</f>
        <v>20000</v>
      </c>
      <c r="V24" s="18" t="n">
        <f aca="false">CHOOSE(V2,Assumptions!$D$46,Assumptions!$D$47,Assumptions!$D$48)*Assumptions!$D$49/12</f>
        <v>20000</v>
      </c>
      <c r="W24" s="18" t="n">
        <f aca="false">CHOOSE(W2,Assumptions!$D$46,Assumptions!$D$47,Assumptions!$D$48)*Assumptions!$D$49/12</f>
        <v>20000</v>
      </c>
      <c r="X24" s="18" t="n">
        <f aca="false">CHOOSE(X2,Assumptions!$D$46,Assumptions!$D$47,Assumptions!$D$48)*Assumptions!$D$49/12</f>
        <v>20000</v>
      </c>
      <c r="Y24" s="18" t="n">
        <f aca="false">CHOOSE(Y2,Assumptions!$D$46,Assumptions!$D$47,Assumptions!$D$48)*Assumptions!$D$49/12</f>
        <v>20000</v>
      </c>
      <c r="Z24" s="18" t="n">
        <f aca="false">CHOOSE(Z2,Assumptions!$D$46,Assumptions!$D$47,Assumptions!$D$48)*Assumptions!$D$49/12</f>
        <v>40000</v>
      </c>
      <c r="AA24" s="18" t="n">
        <f aca="false">CHOOSE(AA2,Assumptions!$D$46,Assumptions!$D$47,Assumptions!$D$48)*Assumptions!$D$49/12</f>
        <v>40000</v>
      </c>
      <c r="AB24" s="18" t="n">
        <f aca="false">CHOOSE(AB2,Assumptions!$D$46,Assumptions!$D$47,Assumptions!$D$48)*Assumptions!$D$49/12</f>
        <v>40000</v>
      </c>
      <c r="AC24" s="18" t="n">
        <f aca="false">CHOOSE(AC2,Assumptions!$D$46,Assumptions!$D$47,Assumptions!$D$48)*Assumptions!$D$49/12</f>
        <v>40000</v>
      </c>
      <c r="AD24" s="18" t="n">
        <f aca="false">CHOOSE(AD2,Assumptions!$D$46,Assumptions!$D$47,Assumptions!$D$48)*Assumptions!$D$49/12</f>
        <v>40000</v>
      </c>
      <c r="AE24" s="18" t="n">
        <f aca="false">CHOOSE(AE2,Assumptions!$D$46,Assumptions!$D$47,Assumptions!$D$48)*Assumptions!$D$49/12</f>
        <v>40000</v>
      </c>
      <c r="AF24" s="18" t="n">
        <f aca="false">CHOOSE(AF2,Assumptions!$D$46,Assumptions!$D$47,Assumptions!$D$48)*Assumptions!$D$49/12</f>
        <v>40000</v>
      </c>
      <c r="AG24" s="18" t="n">
        <f aca="false">CHOOSE(AG2,Assumptions!$D$46,Assumptions!$D$47,Assumptions!$D$48)*Assumptions!$D$49/12</f>
        <v>40000</v>
      </c>
      <c r="AH24" s="18" t="n">
        <f aca="false">CHOOSE(AH2,Assumptions!$D$46,Assumptions!$D$47,Assumptions!$D$48)*Assumptions!$D$49/12</f>
        <v>40000</v>
      </c>
      <c r="AI24" s="18" t="n">
        <f aca="false">CHOOSE(AI2,Assumptions!$D$46,Assumptions!$D$47,Assumptions!$D$48)*Assumptions!$D$49/12</f>
        <v>40000</v>
      </c>
      <c r="AJ24" s="18" t="n">
        <f aca="false">CHOOSE(AJ2,Assumptions!$D$46,Assumptions!$D$47,Assumptions!$D$48)*Assumptions!$D$49/12</f>
        <v>40000</v>
      </c>
      <c r="AK24" s="18" t="n">
        <f aca="false">CHOOSE(AK2,Assumptions!$D$46,Assumptions!$D$47,Assumptions!$D$48)*Assumptions!$D$49/12</f>
        <v>40000</v>
      </c>
    </row>
    <row r="25" customFormat="false" ht="15" hidden="false" customHeight="false" outlineLevel="0" collapsed="false">
      <c r="A25" s="2" t="s">
        <v>152</v>
      </c>
      <c r="B25" s="18" t="n">
        <f aca="false">CHOOSE(B2,Assumptions!$D$51,Assumptions!$D$52,Assumptions!$D$53)*Assumptions!$D$54</f>
        <v>6000</v>
      </c>
      <c r="C25" s="18" t="n">
        <f aca="false">CHOOSE(C2,Assumptions!$D$51,Assumptions!$D$52,Assumptions!$D$53)*Assumptions!$D$54</f>
        <v>6000</v>
      </c>
      <c r="D25" s="18" t="n">
        <f aca="false">CHOOSE(D2,Assumptions!$D$51,Assumptions!$D$52,Assumptions!$D$53)*Assumptions!$D$54</f>
        <v>6000</v>
      </c>
      <c r="E25" s="18" t="n">
        <f aca="false">CHOOSE(E2,Assumptions!$D$51,Assumptions!$D$52,Assumptions!$D$53)*Assumptions!$D$54</f>
        <v>6000</v>
      </c>
      <c r="F25" s="18" t="n">
        <f aca="false">CHOOSE(F2,Assumptions!$D$51,Assumptions!$D$52,Assumptions!$D$53)*Assumptions!$D$54</f>
        <v>6000</v>
      </c>
      <c r="G25" s="18" t="n">
        <f aca="false">CHOOSE(G2,Assumptions!$D$51,Assumptions!$D$52,Assumptions!$D$53)*Assumptions!$D$54</f>
        <v>6000</v>
      </c>
      <c r="H25" s="18" t="n">
        <f aca="false">CHOOSE(H2,Assumptions!$D$51,Assumptions!$D$52,Assumptions!$D$53)*Assumptions!$D$54</f>
        <v>6000</v>
      </c>
      <c r="I25" s="18" t="n">
        <f aca="false">CHOOSE(I2,Assumptions!$D$51,Assumptions!$D$52,Assumptions!$D$53)*Assumptions!$D$54</f>
        <v>6000</v>
      </c>
      <c r="J25" s="18" t="n">
        <f aca="false">CHOOSE(J2,Assumptions!$D$51,Assumptions!$D$52,Assumptions!$D$53)*Assumptions!$D$54</f>
        <v>6000</v>
      </c>
      <c r="K25" s="18" t="n">
        <f aca="false">CHOOSE(K2,Assumptions!$D$51,Assumptions!$D$52,Assumptions!$D$53)*Assumptions!$D$54</f>
        <v>6000</v>
      </c>
      <c r="L25" s="18" t="n">
        <f aca="false">CHOOSE(L2,Assumptions!$D$51,Assumptions!$D$52,Assumptions!$D$53)*Assumptions!$D$54</f>
        <v>6000</v>
      </c>
      <c r="M25" s="18" t="n">
        <f aca="false">CHOOSE(M2,Assumptions!$D$51,Assumptions!$D$52,Assumptions!$D$53)*Assumptions!$D$54</f>
        <v>6000</v>
      </c>
      <c r="N25" s="18" t="n">
        <f aca="false">CHOOSE(N2,Assumptions!$D$51,Assumptions!$D$52,Assumptions!$D$53)*Assumptions!$D$54</f>
        <v>24000</v>
      </c>
      <c r="O25" s="18" t="n">
        <f aca="false">CHOOSE(O2,Assumptions!$D$51,Assumptions!$D$52,Assumptions!$D$53)*Assumptions!$D$54</f>
        <v>24000</v>
      </c>
      <c r="P25" s="18" t="n">
        <f aca="false">CHOOSE(P2,Assumptions!$D$51,Assumptions!$D$52,Assumptions!$D$53)*Assumptions!$D$54</f>
        <v>24000</v>
      </c>
      <c r="Q25" s="18" t="n">
        <f aca="false">CHOOSE(Q2,Assumptions!$D$51,Assumptions!$D$52,Assumptions!$D$53)*Assumptions!$D$54</f>
        <v>24000</v>
      </c>
      <c r="R25" s="18" t="n">
        <f aca="false">CHOOSE(R2,Assumptions!$D$51,Assumptions!$D$52,Assumptions!$D$53)*Assumptions!$D$54</f>
        <v>24000</v>
      </c>
      <c r="S25" s="18" t="n">
        <f aca="false">CHOOSE(S2,Assumptions!$D$51,Assumptions!$D$52,Assumptions!$D$53)*Assumptions!$D$54</f>
        <v>24000</v>
      </c>
      <c r="T25" s="18" t="n">
        <f aca="false">CHOOSE(T2,Assumptions!$D$51,Assumptions!$D$52,Assumptions!$D$53)*Assumptions!$D$54</f>
        <v>24000</v>
      </c>
      <c r="U25" s="18" t="n">
        <f aca="false">CHOOSE(U2,Assumptions!$D$51,Assumptions!$D$52,Assumptions!$D$53)*Assumptions!$D$54</f>
        <v>24000</v>
      </c>
      <c r="V25" s="18" t="n">
        <f aca="false">CHOOSE(V2,Assumptions!$D$51,Assumptions!$D$52,Assumptions!$D$53)*Assumptions!$D$54</f>
        <v>24000</v>
      </c>
      <c r="W25" s="18" t="n">
        <f aca="false">CHOOSE(W2,Assumptions!$D$51,Assumptions!$D$52,Assumptions!$D$53)*Assumptions!$D$54</f>
        <v>24000</v>
      </c>
      <c r="X25" s="18" t="n">
        <f aca="false">CHOOSE(X2,Assumptions!$D$51,Assumptions!$D$52,Assumptions!$D$53)*Assumptions!$D$54</f>
        <v>24000</v>
      </c>
      <c r="Y25" s="18" t="n">
        <f aca="false">CHOOSE(Y2,Assumptions!$D$51,Assumptions!$D$52,Assumptions!$D$53)*Assumptions!$D$54</f>
        <v>24000</v>
      </c>
      <c r="Z25" s="18" t="n">
        <f aca="false">CHOOSE(Z2,Assumptions!$D$51,Assumptions!$D$52,Assumptions!$D$53)*Assumptions!$D$54</f>
        <v>48000</v>
      </c>
      <c r="AA25" s="18" t="n">
        <f aca="false">CHOOSE(AA2,Assumptions!$D$51,Assumptions!$D$52,Assumptions!$D$53)*Assumptions!$D$54</f>
        <v>48000</v>
      </c>
      <c r="AB25" s="18" t="n">
        <f aca="false">CHOOSE(AB2,Assumptions!$D$51,Assumptions!$D$52,Assumptions!$D$53)*Assumptions!$D$54</f>
        <v>48000</v>
      </c>
      <c r="AC25" s="18" t="n">
        <f aca="false">CHOOSE(AC2,Assumptions!$D$51,Assumptions!$D$52,Assumptions!$D$53)*Assumptions!$D$54</f>
        <v>48000</v>
      </c>
      <c r="AD25" s="18" t="n">
        <f aca="false">CHOOSE(AD2,Assumptions!$D$51,Assumptions!$D$52,Assumptions!$D$53)*Assumptions!$D$54</f>
        <v>48000</v>
      </c>
      <c r="AE25" s="18" t="n">
        <f aca="false">CHOOSE(AE2,Assumptions!$D$51,Assumptions!$D$52,Assumptions!$D$53)*Assumptions!$D$54</f>
        <v>48000</v>
      </c>
      <c r="AF25" s="18" t="n">
        <f aca="false">CHOOSE(AF2,Assumptions!$D$51,Assumptions!$D$52,Assumptions!$D$53)*Assumptions!$D$54</f>
        <v>48000</v>
      </c>
      <c r="AG25" s="18" t="n">
        <f aca="false">CHOOSE(AG2,Assumptions!$D$51,Assumptions!$D$52,Assumptions!$D$53)*Assumptions!$D$54</f>
        <v>48000</v>
      </c>
      <c r="AH25" s="18" t="n">
        <f aca="false">CHOOSE(AH2,Assumptions!$D$51,Assumptions!$D$52,Assumptions!$D$53)*Assumptions!$D$54</f>
        <v>48000</v>
      </c>
      <c r="AI25" s="18" t="n">
        <f aca="false">CHOOSE(AI2,Assumptions!$D$51,Assumptions!$D$52,Assumptions!$D$53)*Assumptions!$D$54</f>
        <v>48000</v>
      </c>
      <c r="AJ25" s="18" t="n">
        <f aca="false">CHOOSE(AJ2,Assumptions!$D$51,Assumptions!$D$52,Assumptions!$D$53)*Assumptions!$D$54</f>
        <v>48000</v>
      </c>
      <c r="AK25" s="18" t="n">
        <f aca="false">CHOOSE(AK2,Assumptions!$D$51,Assumptions!$D$52,Assumptions!$D$53)*Assumptions!$D$54</f>
        <v>48000</v>
      </c>
    </row>
    <row r="26" customFormat="false" ht="15" hidden="false" customHeight="false" outlineLevel="0" collapsed="false">
      <c r="A26" s="3" t="s">
        <v>153</v>
      </c>
      <c r="B26" s="18" t="n">
        <f aca="false">B17+B19+B22+B23+B24+B25</f>
        <v>12666.6666666667</v>
      </c>
      <c r="C26" s="18" t="n">
        <f aca="false">C17+C19+C22+C23+C24+C25</f>
        <v>12666.6666666667</v>
      </c>
      <c r="D26" s="18" t="n">
        <f aca="false">D17+D19+D22+D23+D24+D25</f>
        <v>12666.6666666667</v>
      </c>
      <c r="E26" s="18" t="n">
        <f aca="false">E17+E19+E22+E23+E24+E25</f>
        <v>12666.6666666667</v>
      </c>
      <c r="F26" s="18" t="n">
        <f aca="false">F17+F19+F22+F23+F24+F25</f>
        <v>12666.6666666667</v>
      </c>
      <c r="G26" s="18" t="n">
        <f aca="false">G17+G19+G22+G23+G24+G25</f>
        <v>12666.6666666667</v>
      </c>
      <c r="H26" s="18" t="n">
        <f aca="false">H17+H19+H22+H23+H24+H25</f>
        <v>12666.6666666667</v>
      </c>
      <c r="I26" s="18" t="n">
        <f aca="false">I17+I19+I22+I23+I24+I25</f>
        <v>12666.6666666667</v>
      </c>
      <c r="J26" s="18" t="n">
        <f aca="false">J17+J19+J22+J23+J24+J25</f>
        <v>12666.6666666667</v>
      </c>
      <c r="K26" s="18" t="n">
        <f aca="false">K17+K19+K22+K23+K24+K25</f>
        <v>578929.714285714</v>
      </c>
      <c r="L26" s="18" t="n">
        <f aca="false">L17+L19+L22+L23+L24+L25</f>
        <v>481143.5</v>
      </c>
      <c r="M26" s="18" t="n">
        <f aca="false">M17+M19+M22+M23+M24+M25</f>
        <v>795895.979497355</v>
      </c>
      <c r="N26" s="18" t="n">
        <f aca="false">N17+N19+N22+N23+N24+N25</f>
        <v>346400.953799603</v>
      </c>
      <c r="O26" s="18" t="n">
        <f aca="false">O17+O19+O22+O23+O24+O25</f>
        <v>344666.73077629</v>
      </c>
      <c r="P26" s="18" t="n">
        <f aca="false">P17+P19+P22+P23+P24+P25</f>
        <v>343027.566904142</v>
      </c>
      <c r="Q26" s="18" t="n">
        <f aca="false">Q17+Q19+Q22+Q23+Q24+Q25</f>
        <v>287883.52991319</v>
      </c>
      <c r="R26" s="18" t="n">
        <f aca="false">R17+R19+R22+R23+R24+R25</f>
        <v>285011.399459197</v>
      </c>
      <c r="S26" s="18" t="n">
        <f aca="false">S17+S19+S22+S23+S24+S25</f>
        <v>282289.136527904</v>
      </c>
      <c r="T26" s="18" t="n">
        <f aca="false">T17+T19+T22+T23+T24+T25</f>
        <v>279709.247743175</v>
      </c>
      <c r="U26" s="18" t="n">
        <f aca="false">U17+U19+U22+U23+U24+U25</f>
        <v>277264.614397683</v>
      </c>
      <c r="V26" s="18" t="n">
        <f aca="false">V17+V19+V22+V23+V24+V25</f>
        <v>274948.473719466</v>
      </c>
      <c r="W26" s="18" t="n">
        <f aca="false">W17+W19+W22+W23+W24+W25</f>
        <v>272754.401075159</v>
      </c>
      <c r="X26" s="18" t="n">
        <f aca="false">X17+X19+X22+X23+X24+X25</f>
        <v>270676.293063068</v>
      </c>
      <c r="Y26" s="18" t="n">
        <f aca="false">Y17+Y19+Y22+Y23+Y24+Y25</f>
        <v>268708.351451581</v>
      </c>
      <c r="Z26" s="18" t="n">
        <f aca="false">Z17+Z19+Z22+Z23+Z24+Z25</f>
        <v>308755.125420669</v>
      </c>
      <c r="AA26" s="18" t="n">
        <f aca="false">AA17+AA19+AA22+AA23+AA24+AA25</f>
        <v>305708.643316302</v>
      </c>
      <c r="AB26" s="18" t="n">
        <f aca="false">AB17+AB19+AB22+AB23+AB24+AB25</f>
        <v>302819.297317153</v>
      </c>
      <c r="AC26" s="18" t="n">
        <f aca="false">AC17+AC19+AC22+AC23+AC24+AC25</f>
        <v>300079.230617962</v>
      </c>
      <c r="AD26" s="18" t="n">
        <f aca="false">AD17+AD19+AD22+AD23+AD24+AD25</f>
        <v>297480.979253731</v>
      </c>
      <c r="AE26" s="18" t="n">
        <f aca="false">AE17+AE19+AE22+AE23+AE24+AE25</f>
        <v>295017.452457711</v>
      </c>
      <c r="AF26" s="18" t="n">
        <f aca="false">AF17+AF19+AF22+AF23+AF24+AF25</f>
        <v>292681.914001492</v>
      </c>
      <c r="AG26" s="18" t="n">
        <f aca="false">AG17+AG19+AG22+AG23+AG24+AG25</f>
        <v>290467.964468084</v>
      </c>
      <c r="AH26" s="18" t="n">
        <f aca="false">AH17+AH19+AH22+AH23+AH24+AH25</f>
        <v>288369.524411347</v>
      </c>
      <c r="AI26" s="18" t="n">
        <f aca="false">AI17+AI19+AI22+AI23+AI24+AI25</f>
        <v>286380.818357446</v>
      </c>
      <c r="AJ26" s="18" t="n">
        <f aca="false">AJ17+AJ19+AJ22+AJ23+AJ24+AJ25</f>
        <v>284496.35960624</v>
      </c>
      <c r="AK26" s="18" t="n">
        <f aca="false">AK17+AK19+AK22+AK23+AK24+AK25</f>
        <v>282710.935792595</v>
      </c>
    </row>
    <row r="27" customFormat="false" ht="15" hidden="false" customHeight="false" outlineLevel="0" collapsed="false">
      <c r="A27" s="2" t="s">
        <v>154</v>
      </c>
      <c r="B27" s="16" t="n">
        <f aca="false">CHOOSE(B2,Assumptions!$D$58,Assumptions!$D$59,Assumptions!$D$60)/12</f>
        <v>0.833333333333333</v>
      </c>
      <c r="C27" s="16" t="n">
        <f aca="false">CHOOSE(C2,Assumptions!$D$58,Assumptions!$D$59,Assumptions!$D$60)/12</f>
        <v>0.833333333333333</v>
      </c>
      <c r="D27" s="16" t="n">
        <f aca="false">CHOOSE(D2,Assumptions!$D$58,Assumptions!$D$59,Assumptions!$D$60)/12</f>
        <v>0.833333333333333</v>
      </c>
      <c r="E27" s="16" t="n">
        <f aca="false">CHOOSE(E2,Assumptions!$D$58,Assumptions!$D$59,Assumptions!$D$60)/12</f>
        <v>0.833333333333333</v>
      </c>
      <c r="F27" s="16" t="n">
        <f aca="false">CHOOSE(F2,Assumptions!$D$58,Assumptions!$D$59,Assumptions!$D$60)/12</f>
        <v>0.833333333333333</v>
      </c>
      <c r="G27" s="16" t="n">
        <f aca="false">CHOOSE(G2,Assumptions!$D$58,Assumptions!$D$59,Assumptions!$D$60)/12</f>
        <v>0.833333333333333</v>
      </c>
      <c r="H27" s="16" t="n">
        <f aca="false">CHOOSE(H2,Assumptions!$D$58,Assumptions!$D$59,Assumptions!$D$60)/12</f>
        <v>0.833333333333333</v>
      </c>
      <c r="I27" s="16" t="n">
        <f aca="false">CHOOSE(I2,Assumptions!$D$58,Assumptions!$D$59,Assumptions!$D$60)/12</f>
        <v>0.833333333333333</v>
      </c>
      <c r="J27" s="16" t="n">
        <f aca="false">CHOOSE(J2,Assumptions!$D$58,Assumptions!$D$59,Assumptions!$D$60)/12</f>
        <v>0.833333333333333</v>
      </c>
      <c r="K27" s="16" t="n">
        <f aca="false">CHOOSE(K2,Assumptions!$D$58,Assumptions!$D$59,Assumptions!$D$60)/12</f>
        <v>0.833333333333333</v>
      </c>
      <c r="L27" s="16" t="n">
        <f aca="false">CHOOSE(L2,Assumptions!$D$58,Assumptions!$D$59,Assumptions!$D$60)/12</f>
        <v>0.833333333333333</v>
      </c>
      <c r="M27" s="16" t="n">
        <f aca="false">CHOOSE(M2,Assumptions!$D$58,Assumptions!$D$59,Assumptions!$D$60)/12</f>
        <v>0.833333333333333</v>
      </c>
      <c r="N27" s="16" t="n">
        <f aca="false">CHOOSE(N2,Assumptions!$D$58,Assumptions!$D$59,Assumptions!$D$60)/12</f>
        <v>1.25</v>
      </c>
      <c r="O27" s="16" t="n">
        <f aca="false">CHOOSE(O2,Assumptions!$D$58,Assumptions!$D$59,Assumptions!$D$60)/12</f>
        <v>1.25</v>
      </c>
      <c r="P27" s="16" t="n">
        <f aca="false">CHOOSE(P2,Assumptions!$D$58,Assumptions!$D$59,Assumptions!$D$60)/12</f>
        <v>1.25</v>
      </c>
      <c r="Q27" s="16" t="n">
        <f aca="false">CHOOSE(Q2,Assumptions!$D$58,Assumptions!$D$59,Assumptions!$D$60)/12</f>
        <v>1.25</v>
      </c>
      <c r="R27" s="16" t="n">
        <f aca="false">CHOOSE(R2,Assumptions!$D$58,Assumptions!$D$59,Assumptions!$D$60)/12</f>
        <v>1.25</v>
      </c>
      <c r="S27" s="16" t="n">
        <f aca="false">CHOOSE(S2,Assumptions!$D$58,Assumptions!$D$59,Assumptions!$D$60)/12</f>
        <v>1.25</v>
      </c>
      <c r="T27" s="16" t="n">
        <f aca="false">CHOOSE(T2,Assumptions!$D$58,Assumptions!$D$59,Assumptions!$D$60)/12</f>
        <v>1.25</v>
      </c>
      <c r="U27" s="16" t="n">
        <f aca="false">CHOOSE(U2,Assumptions!$D$58,Assumptions!$D$59,Assumptions!$D$60)/12</f>
        <v>1.25</v>
      </c>
      <c r="V27" s="16" t="n">
        <f aca="false">CHOOSE(V2,Assumptions!$D$58,Assumptions!$D$59,Assumptions!$D$60)/12</f>
        <v>1.25</v>
      </c>
      <c r="W27" s="16" t="n">
        <f aca="false">CHOOSE(W2,Assumptions!$D$58,Assumptions!$D$59,Assumptions!$D$60)/12</f>
        <v>1.25</v>
      </c>
      <c r="X27" s="16" t="n">
        <f aca="false">CHOOSE(X2,Assumptions!$D$58,Assumptions!$D$59,Assumptions!$D$60)/12</f>
        <v>1.25</v>
      </c>
      <c r="Y27" s="16" t="n">
        <f aca="false">CHOOSE(Y2,Assumptions!$D$58,Assumptions!$D$59,Assumptions!$D$60)/12</f>
        <v>1.25</v>
      </c>
      <c r="Z27" s="16" t="n">
        <f aca="false">CHOOSE(Z2,Assumptions!$D$58,Assumptions!$D$59,Assumptions!$D$60)/12</f>
        <v>1.66666666666667</v>
      </c>
      <c r="AA27" s="16" t="n">
        <f aca="false">CHOOSE(AA2,Assumptions!$D$58,Assumptions!$D$59,Assumptions!$D$60)/12</f>
        <v>1.66666666666667</v>
      </c>
      <c r="AB27" s="16" t="n">
        <f aca="false">CHOOSE(AB2,Assumptions!$D$58,Assumptions!$D$59,Assumptions!$D$60)/12</f>
        <v>1.66666666666667</v>
      </c>
      <c r="AC27" s="16" t="n">
        <f aca="false">CHOOSE(AC2,Assumptions!$D$58,Assumptions!$D$59,Assumptions!$D$60)/12</f>
        <v>1.66666666666667</v>
      </c>
      <c r="AD27" s="16" t="n">
        <f aca="false">CHOOSE(AD2,Assumptions!$D$58,Assumptions!$D$59,Assumptions!$D$60)/12</f>
        <v>1.66666666666667</v>
      </c>
      <c r="AE27" s="16" t="n">
        <f aca="false">CHOOSE(AE2,Assumptions!$D$58,Assumptions!$D$59,Assumptions!$D$60)/12</f>
        <v>1.66666666666667</v>
      </c>
      <c r="AF27" s="16" t="n">
        <f aca="false">CHOOSE(AF2,Assumptions!$D$58,Assumptions!$D$59,Assumptions!$D$60)/12</f>
        <v>1.66666666666667</v>
      </c>
      <c r="AG27" s="16" t="n">
        <f aca="false">CHOOSE(AG2,Assumptions!$D$58,Assumptions!$D$59,Assumptions!$D$60)/12</f>
        <v>1.66666666666667</v>
      </c>
      <c r="AH27" s="16" t="n">
        <f aca="false">CHOOSE(AH2,Assumptions!$D$58,Assumptions!$D$59,Assumptions!$D$60)/12</f>
        <v>1.66666666666667</v>
      </c>
      <c r="AI27" s="16" t="n">
        <f aca="false">CHOOSE(AI2,Assumptions!$D$58,Assumptions!$D$59,Assumptions!$D$60)/12</f>
        <v>1.66666666666667</v>
      </c>
      <c r="AJ27" s="16" t="n">
        <f aca="false">CHOOSE(AJ2,Assumptions!$D$58,Assumptions!$D$59,Assumptions!$D$60)/12</f>
        <v>1.66666666666667</v>
      </c>
      <c r="AK27" s="16" t="n">
        <f aca="false">CHOOSE(AK2,Assumptions!$D$58,Assumptions!$D$59,Assumptions!$D$60)/12</f>
        <v>1.66666666666667</v>
      </c>
    </row>
    <row r="28" customFormat="false" ht="15" hidden="false" customHeight="false" outlineLevel="0" collapsed="false">
      <c r="A28" s="2" t="s">
        <v>155</v>
      </c>
      <c r="B28" s="16" t="n">
        <f aca="false">Assumptions!$B$5+B27</f>
        <v>10.8333333333333</v>
      </c>
      <c r="C28" s="16" t="n">
        <f aca="false">B28+C27</f>
        <v>11.6666666666667</v>
      </c>
      <c r="D28" s="16" t="n">
        <f aca="false">C28+D27</f>
        <v>12.5</v>
      </c>
      <c r="E28" s="16" t="n">
        <f aca="false">D28+E27</f>
        <v>13.3333333333333</v>
      </c>
      <c r="F28" s="16" t="n">
        <f aca="false">E28+F27</f>
        <v>14.1666666666667</v>
      </c>
      <c r="G28" s="16" t="n">
        <f aca="false">F28+G27</f>
        <v>15</v>
      </c>
      <c r="H28" s="16" t="n">
        <f aca="false">G28+H27</f>
        <v>15.8333333333333</v>
      </c>
      <c r="I28" s="16" t="n">
        <f aca="false">H28+I27</f>
        <v>16.6666666666667</v>
      </c>
      <c r="J28" s="16" t="n">
        <f aca="false">I28+J27</f>
        <v>17.5</v>
      </c>
      <c r="K28" s="16" t="n">
        <f aca="false">J28+K27</f>
        <v>18.3333333333333</v>
      </c>
      <c r="L28" s="16" t="n">
        <f aca="false">K28+L27</f>
        <v>19.1666666666667</v>
      </c>
      <c r="M28" s="16" t="n">
        <f aca="false">L28+M27</f>
        <v>20</v>
      </c>
      <c r="N28" s="16" t="n">
        <f aca="false">M28+N27</f>
        <v>21.25</v>
      </c>
      <c r="O28" s="16" t="n">
        <f aca="false">N28+O27</f>
        <v>22.5</v>
      </c>
      <c r="P28" s="16" t="n">
        <f aca="false">O28+P27</f>
        <v>23.75</v>
      </c>
      <c r="Q28" s="16" t="n">
        <f aca="false">P28+Q27</f>
        <v>25</v>
      </c>
      <c r="R28" s="16" t="n">
        <f aca="false">Q28+R27</f>
        <v>26.25</v>
      </c>
      <c r="S28" s="16" t="n">
        <f aca="false">R28+S27</f>
        <v>27.5</v>
      </c>
      <c r="T28" s="16" t="n">
        <f aca="false">S28+T27</f>
        <v>28.75</v>
      </c>
      <c r="U28" s="16" t="n">
        <f aca="false">T28+U27</f>
        <v>30</v>
      </c>
      <c r="V28" s="16" t="n">
        <f aca="false">U28+V27</f>
        <v>31.25</v>
      </c>
      <c r="W28" s="16" t="n">
        <f aca="false">V28+W27</f>
        <v>32.5</v>
      </c>
      <c r="X28" s="16" t="n">
        <f aca="false">W28+X27</f>
        <v>33.75</v>
      </c>
      <c r="Y28" s="16" t="n">
        <f aca="false">X28+Y27</f>
        <v>35</v>
      </c>
      <c r="Z28" s="16" t="n">
        <f aca="false">Y28+Z27</f>
        <v>36.6666666666667</v>
      </c>
      <c r="AA28" s="16" t="n">
        <f aca="false">Z28+AA27</f>
        <v>38.3333333333333</v>
      </c>
      <c r="AB28" s="16" t="n">
        <f aca="false">AA28+AB27</f>
        <v>40</v>
      </c>
      <c r="AC28" s="16" t="n">
        <f aca="false">AB28+AC27</f>
        <v>41.6666666666667</v>
      </c>
      <c r="AD28" s="16" t="n">
        <f aca="false">AC28+AD27</f>
        <v>43.3333333333333</v>
      </c>
      <c r="AE28" s="16" t="n">
        <f aca="false">AD28+AE27</f>
        <v>45</v>
      </c>
      <c r="AF28" s="16" t="n">
        <f aca="false">AE28+AF27</f>
        <v>46.6666666666667</v>
      </c>
      <c r="AG28" s="16" t="n">
        <f aca="false">AF28+AG27</f>
        <v>48.3333333333333</v>
      </c>
      <c r="AH28" s="16" t="n">
        <f aca="false">AG28+AH27</f>
        <v>50</v>
      </c>
      <c r="AI28" s="16" t="n">
        <f aca="false">AH28+AI27</f>
        <v>51.6666666666666</v>
      </c>
      <c r="AJ28" s="16" t="n">
        <f aca="false">AI28+AJ27</f>
        <v>53.3333333333333</v>
      </c>
      <c r="AK28" s="16" t="n">
        <f aca="false">AJ28+AK27</f>
        <v>55</v>
      </c>
    </row>
    <row r="29" customFormat="false" ht="15" hidden="false" customHeight="false" outlineLevel="0" collapsed="false">
      <c r="A29" s="2" t="s">
        <v>156</v>
      </c>
      <c r="B29" s="18" t="n">
        <f aca="false">IF(B1=0,Assumptions!$B$12+Assumptions!$B$16+(Assumptions!$B$5-1)*(Assumptions!$B$13+Assumptions!$B$16),0)+B27*(Assumptions!$B$13*Assumptions!$B$11+Assumptions!$B$16)</f>
        <v>149916.666666667</v>
      </c>
      <c r="C29" s="18" t="n">
        <f aca="false">IF(C1=0,Assumptions!$B$12+Assumptions!$B$16+(Assumptions!$B$5-1)*(Assumptions!$B$13+Assumptions!$B$16),0)+C27*(Assumptions!$B$13*Assumptions!$B$11+Assumptions!$B$16)</f>
        <v>10916.6666666667</v>
      </c>
      <c r="D29" s="18" t="n">
        <f aca="false">IF(D1=0,Assumptions!$B$12+Assumptions!$B$16+(Assumptions!$B$5-1)*(Assumptions!$B$13+Assumptions!$B$16),0)+D27*(Assumptions!$B$13*Assumptions!$B$11+Assumptions!$B$16)</f>
        <v>10916.6666666667</v>
      </c>
      <c r="E29" s="18" t="n">
        <f aca="false">IF(E1=0,Assumptions!$B$12+Assumptions!$B$16+(Assumptions!$B$5-1)*(Assumptions!$B$13+Assumptions!$B$16),0)+E27*(Assumptions!$B$13*Assumptions!$B$11+Assumptions!$B$16)</f>
        <v>10916.6666666667</v>
      </c>
      <c r="F29" s="18" t="n">
        <f aca="false">IF(F1=0,Assumptions!$B$12+Assumptions!$B$16+(Assumptions!$B$5-1)*(Assumptions!$B$13+Assumptions!$B$16),0)+F27*(Assumptions!$B$13*Assumptions!$B$11+Assumptions!$B$16)</f>
        <v>10916.6666666667</v>
      </c>
      <c r="G29" s="18" t="n">
        <f aca="false">IF(G1=0,Assumptions!$B$12+Assumptions!$B$16+(Assumptions!$B$5-1)*(Assumptions!$B$13+Assumptions!$B$16),0)+G27*(Assumptions!$B$13*Assumptions!$B$11+Assumptions!$B$16)</f>
        <v>10916.6666666667</v>
      </c>
      <c r="H29" s="18" t="n">
        <f aca="false">IF(H1=0,Assumptions!$B$12+Assumptions!$B$16+(Assumptions!$B$5-1)*(Assumptions!$B$13+Assumptions!$B$16),0)+H27*(Assumptions!$B$13*Assumptions!$B$11+Assumptions!$B$16)</f>
        <v>10916.6666666667</v>
      </c>
      <c r="I29" s="18" t="n">
        <f aca="false">IF(I1=0,Assumptions!$B$12+Assumptions!$B$16+(Assumptions!$B$5-1)*(Assumptions!$B$13+Assumptions!$B$16),0)+I27*(Assumptions!$B$13*Assumptions!$B$11+Assumptions!$B$16)</f>
        <v>10916.6666666667</v>
      </c>
      <c r="J29" s="18" t="n">
        <f aca="false">IF(J1=0,Assumptions!$B$12+Assumptions!$B$16+(Assumptions!$B$5-1)*(Assumptions!$B$13+Assumptions!$B$16),0)+J27*(Assumptions!$B$13*Assumptions!$B$11+Assumptions!$B$16)</f>
        <v>10916.6666666667</v>
      </c>
      <c r="K29" s="18" t="n">
        <f aca="false">IF(K1=0,Assumptions!$B$12+Assumptions!$B$16+(Assumptions!$B$5-1)*(Assumptions!$B$13+Assumptions!$B$16),0)+K27*(Assumptions!$B$13*Assumptions!$B$11+Assumptions!$B$16)</f>
        <v>10916.6666666667</v>
      </c>
      <c r="L29" s="18" t="n">
        <f aca="false">IF(L1=0,Assumptions!$B$12+Assumptions!$B$16+(Assumptions!$B$5-1)*(Assumptions!$B$13+Assumptions!$B$16),0)+L27*(Assumptions!$B$13*Assumptions!$B$11+Assumptions!$B$16)</f>
        <v>10916.6666666667</v>
      </c>
      <c r="M29" s="18" t="n">
        <f aca="false">IF(M1=0,Assumptions!$B$12+Assumptions!$B$16+(Assumptions!$B$5-1)*(Assumptions!$B$13+Assumptions!$B$16),0)+M27*(Assumptions!$B$13*Assumptions!$B$11+Assumptions!$B$16)</f>
        <v>10916.6666666667</v>
      </c>
      <c r="N29" s="18" t="n">
        <f aca="false">IF(N1=0,Assumptions!$B$12+Assumptions!$B$16+(Assumptions!$B$5-1)*(Assumptions!$B$13+Assumptions!$B$16),0)+N27*(Assumptions!$B$13*Assumptions!$B$11+Assumptions!$B$16)</f>
        <v>16375</v>
      </c>
      <c r="O29" s="18" t="n">
        <f aca="false">IF(O1=0,Assumptions!$B$12+Assumptions!$B$16+(Assumptions!$B$5-1)*(Assumptions!$B$13+Assumptions!$B$16),0)+O27*(Assumptions!$B$13*Assumptions!$B$11+Assumptions!$B$16)</f>
        <v>16375</v>
      </c>
      <c r="P29" s="18" t="n">
        <f aca="false">IF(P1=0,Assumptions!$B$12+Assumptions!$B$16+(Assumptions!$B$5-1)*(Assumptions!$B$13+Assumptions!$B$16),0)+P27*(Assumptions!$B$13*Assumptions!$B$11+Assumptions!$B$16)</f>
        <v>16375</v>
      </c>
      <c r="Q29" s="18" t="n">
        <f aca="false">IF(Q1=0,Assumptions!$B$12+Assumptions!$B$16+(Assumptions!$B$5-1)*(Assumptions!$B$13+Assumptions!$B$16),0)+Q27*(Assumptions!$B$13*Assumptions!$B$11+Assumptions!$B$16)</f>
        <v>16375</v>
      </c>
      <c r="R29" s="18" t="n">
        <f aca="false">IF(R1=0,Assumptions!$B$12+Assumptions!$B$16+(Assumptions!$B$5-1)*(Assumptions!$B$13+Assumptions!$B$16),0)+R27*(Assumptions!$B$13*Assumptions!$B$11+Assumptions!$B$16)</f>
        <v>16375</v>
      </c>
      <c r="S29" s="18" t="n">
        <f aca="false">IF(S1=0,Assumptions!$B$12+Assumptions!$B$16+(Assumptions!$B$5-1)*(Assumptions!$B$13+Assumptions!$B$16),0)+S27*(Assumptions!$B$13*Assumptions!$B$11+Assumptions!$B$16)</f>
        <v>16375</v>
      </c>
      <c r="T29" s="18" t="n">
        <f aca="false">IF(T1=0,Assumptions!$B$12+Assumptions!$B$16+(Assumptions!$B$5-1)*(Assumptions!$B$13+Assumptions!$B$16),0)+T27*(Assumptions!$B$13*Assumptions!$B$11+Assumptions!$B$16)</f>
        <v>16375</v>
      </c>
      <c r="U29" s="18" t="n">
        <f aca="false">IF(U1=0,Assumptions!$B$12+Assumptions!$B$16+(Assumptions!$B$5-1)*(Assumptions!$B$13+Assumptions!$B$16),0)+U27*(Assumptions!$B$13*Assumptions!$B$11+Assumptions!$B$16)</f>
        <v>16375</v>
      </c>
      <c r="V29" s="18" t="n">
        <f aca="false">IF(V1=0,Assumptions!$B$12+Assumptions!$B$16+(Assumptions!$B$5-1)*(Assumptions!$B$13+Assumptions!$B$16),0)+V27*(Assumptions!$B$13*Assumptions!$B$11+Assumptions!$B$16)</f>
        <v>16375</v>
      </c>
      <c r="W29" s="18" t="n">
        <f aca="false">IF(W1=0,Assumptions!$B$12+Assumptions!$B$16+(Assumptions!$B$5-1)*(Assumptions!$B$13+Assumptions!$B$16),0)+W27*(Assumptions!$B$13*Assumptions!$B$11+Assumptions!$B$16)</f>
        <v>16375</v>
      </c>
      <c r="X29" s="18" t="n">
        <f aca="false">IF(X1=0,Assumptions!$B$12+Assumptions!$B$16+(Assumptions!$B$5-1)*(Assumptions!$B$13+Assumptions!$B$16),0)+X27*(Assumptions!$B$13*Assumptions!$B$11+Assumptions!$B$16)</f>
        <v>16375</v>
      </c>
      <c r="Y29" s="18" t="n">
        <f aca="false">IF(Y1=0,Assumptions!$B$12+Assumptions!$B$16+(Assumptions!$B$5-1)*(Assumptions!$B$13+Assumptions!$B$16),0)+Y27*(Assumptions!$B$13*Assumptions!$B$11+Assumptions!$B$16)</f>
        <v>16375</v>
      </c>
      <c r="Z29" s="18" t="n">
        <f aca="false">IF(Z1=0,Assumptions!$B$12+Assumptions!$B$16+(Assumptions!$B$5-1)*(Assumptions!$B$13+Assumptions!$B$16),0)+Z27*(Assumptions!$B$13*Assumptions!$B$11+Assumptions!$B$16)</f>
        <v>21833.3333333333</v>
      </c>
      <c r="AA29" s="18" t="n">
        <f aca="false">IF(AA1=0,Assumptions!$B$12+Assumptions!$B$16+(Assumptions!$B$5-1)*(Assumptions!$B$13+Assumptions!$B$16),0)+AA27*(Assumptions!$B$13*Assumptions!$B$11+Assumptions!$B$16)</f>
        <v>21833.3333333333</v>
      </c>
      <c r="AB29" s="18" t="n">
        <f aca="false">IF(AB1=0,Assumptions!$B$12+Assumptions!$B$16+(Assumptions!$B$5-1)*(Assumptions!$B$13+Assumptions!$B$16),0)+AB27*(Assumptions!$B$13*Assumptions!$B$11+Assumptions!$B$16)</f>
        <v>21833.3333333333</v>
      </c>
      <c r="AC29" s="18" t="n">
        <f aca="false">IF(AC1=0,Assumptions!$B$12+Assumptions!$B$16+(Assumptions!$B$5-1)*(Assumptions!$B$13+Assumptions!$B$16),0)+AC27*(Assumptions!$B$13*Assumptions!$B$11+Assumptions!$B$16)</f>
        <v>21833.3333333333</v>
      </c>
      <c r="AD29" s="18" t="n">
        <f aca="false">IF(AD1=0,Assumptions!$B$12+Assumptions!$B$16+(Assumptions!$B$5-1)*(Assumptions!$B$13+Assumptions!$B$16),0)+AD27*(Assumptions!$B$13*Assumptions!$B$11+Assumptions!$B$16)</f>
        <v>21833.3333333333</v>
      </c>
      <c r="AE29" s="18" t="n">
        <f aca="false">IF(AE1=0,Assumptions!$B$12+Assumptions!$B$16+(Assumptions!$B$5-1)*(Assumptions!$B$13+Assumptions!$B$16),0)+AE27*(Assumptions!$B$13*Assumptions!$B$11+Assumptions!$B$16)</f>
        <v>21833.3333333333</v>
      </c>
      <c r="AF29" s="18" t="n">
        <f aca="false">IF(AF1=0,Assumptions!$B$12+Assumptions!$B$16+(Assumptions!$B$5-1)*(Assumptions!$B$13+Assumptions!$B$16),0)+AF27*(Assumptions!$B$13*Assumptions!$B$11+Assumptions!$B$16)</f>
        <v>21833.3333333333</v>
      </c>
      <c r="AG29" s="18" t="n">
        <f aca="false">IF(AG1=0,Assumptions!$B$12+Assumptions!$B$16+(Assumptions!$B$5-1)*(Assumptions!$B$13+Assumptions!$B$16),0)+AG27*(Assumptions!$B$13*Assumptions!$B$11+Assumptions!$B$16)</f>
        <v>21833.3333333333</v>
      </c>
      <c r="AH29" s="18" t="n">
        <f aca="false">IF(AH1=0,Assumptions!$B$12+Assumptions!$B$16+(Assumptions!$B$5-1)*(Assumptions!$B$13+Assumptions!$B$16),0)+AH27*(Assumptions!$B$13*Assumptions!$B$11+Assumptions!$B$16)</f>
        <v>21833.3333333333</v>
      </c>
      <c r="AI29" s="18" t="n">
        <f aca="false">IF(AI1=0,Assumptions!$B$12+Assumptions!$B$16+(Assumptions!$B$5-1)*(Assumptions!$B$13+Assumptions!$B$16),0)+AI27*(Assumptions!$B$13*Assumptions!$B$11+Assumptions!$B$16)</f>
        <v>21833.3333333333</v>
      </c>
      <c r="AJ29" s="18" t="n">
        <f aca="false">IF(AJ1=0,Assumptions!$B$12+Assumptions!$B$16+(Assumptions!$B$5-1)*(Assumptions!$B$13+Assumptions!$B$16),0)+AJ27*(Assumptions!$B$13*Assumptions!$B$11+Assumptions!$B$16)</f>
        <v>21833.3333333333</v>
      </c>
      <c r="AK29" s="18" t="n">
        <f aca="false">IF(AK1=0,Assumptions!$B$12+Assumptions!$B$16+(Assumptions!$B$5-1)*(Assumptions!$B$13+Assumptions!$B$16),0)+AK27*(Assumptions!$B$13*Assumptions!$B$11+Assumptions!$B$16)</f>
        <v>21833.3333333333</v>
      </c>
    </row>
    <row r="30" customFormat="false" ht="15" hidden="false" customHeight="false" outlineLevel="0" collapsed="false">
      <c r="A30" s="2" t="s">
        <v>157</v>
      </c>
      <c r="B30" s="18" t="n">
        <f aca="false">B28*CHOOSE(B2,Assumptions!$D$61,Assumptions!$D$62,Assumptions!$D$63)*(Assumptions!$B$10*Assumptions!$B$14+(1-Assumptions!$B$10)*Assumptions!$B$15)/12</f>
        <v>2080.90277777778</v>
      </c>
      <c r="C30" s="18" t="n">
        <f aca="false">C28*CHOOSE(C2,Assumptions!$D$61,Assumptions!$D$62,Assumptions!$D$63)*(Assumptions!$B$10*Assumptions!$B$14+(1-Assumptions!$B$10)*Assumptions!$B$15)/12</f>
        <v>2240.97222222222</v>
      </c>
      <c r="D30" s="18" t="n">
        <f aca="false">D28*CHOOSE(D2,Assumptions!$D$61,Assumptions!$D$62,Assumptions!$D$63)*(Assumptions!$B$10*Assumptions!$B$14+(1-Assumptions!$B$10)*Assumptions!$B$15)/12</f>
        <v>2401.04166666667</v>
      </c>
      <c r="E30" s="18" t="n">
        <f aca="false">E28*CHOOSE(E2,Assumptions!$D$61,Assumptions!$D$62,Assumptions!$D$63)*(Assumptions!$B$10*Assumptions!$B$14+(1-Assumptions!$B$10)*Assumptions!$B$15)/12</f>
        <v>2561.11111111111</v>
      </c>
      <c r="F30" s="18" t="n">
        <f aca="false">F28*CHOOSE(F2,Assumptions!$D$61,Assumptions!$D$62,Assumptions!$D$63)*(Assumptions!$B$10*Assumptions!$B$14+(1-Assumptions!$B$10)*Assumptions!$B$15)/12</f>
        <v>2721.18055555556</v>
      </c>
      <c r="G30" s="18" t="n">
        <f aca="false">G28*CHOOSE(G2,Assumptions!$D$61,Assumptions!$D$62,Assumptions!$D$63)*(Assumptions!$B$10*Assumptions!$B$14+(1-Assumptions!$B$10)*Assumptions!$B$15)/12</f>
        <v>2881.25</v>
      </c>
      <c r="H30" s="18" t="n">
        <f aca="false">H28*CHOOSE(H2,Assumptions!$D$61,Assumptions!$D$62,Assumptions!$D$63)*(Assumptions!$B$10*Assumptions!$B$14+(1-Assumptions!$B$10)*Assumptions!$B$15)/12</f>
        <v>3041.31944444445</v>
      </c>
      <c r="I30" s="18" t="n">
        <f aca="false">I28*CHOOSE(I2,Assumptions!$D$61,Assumptions!$D$62,Assumptions!$D$63)*(Assumptions!$B$10*Assumptions!$B$14+(1-Assumptions!$B$10)*Assumptions!$B$15)/12</f>
        <v>3201.38888888889</v>
      </c>
      <c r="J30" s="18" t="n">
        <f aca="false">J28*CHOOSE(J2,Assumptions!$D$61,Assumptions!$D$62,Assumptions!$D$63)*(Assumptions!$B$10*Assumptions!$B$14+(1-Assumptions!$B$10)*Assumptions!$B$15)/12</f>
        <v>3361.45833333333</v>
      </c>
      <c r="K30" s="18" t="n">
        <f aca="false">K28*CHOOSE(K2,Assumptions!$D$61,Assumptions!$D$62,Assumptions!$D$63)*(Assumptions!$B$10*Assumptions!$B$14+(1-Assumptions!$B$10)*Assumptions!$B$15)/12</f>
        <v>3521.52777777778</v>
      </c>
      <c r="L30" s="18" t="n">
        <f aca="false">L28*CHOOSE(L2,Assumptions!$D$61,Assumptions!$D$62,Assumptions!$D$63)*(Assumptions!$B$10*Assumptions!$B$14+(1-Assumptions!$B$10)*Assumptions!$B$15)/12</f>
        <v>3681.59722222222</v>
      </c>
      <c r="M30" s="18" t="n">
        <f aca="false">M28*CHOOSE(M2,Assumptions!$D$61,Assumptions!$D$62,Assumptions!$D$63)*(Assumptions!$B$10*Assumptions!$B$14+(1-Assumptions!$B$10)*Assumptions!$B$15)/12</f>
        <v>3841.66666666667</v>
      </c>
      <c r="N30" s="18" t="n">
        <f aca="false">N28*CHOOSE(N2,Assumptions!$D$61,Assumptions!$D$62,Assumptions!$D$63)*(Assumptions!$B$10*Assumptions!$B$14+(1-Assumptions!$B$10)*Assumptions!$B$15)/12</f>
        <v>4081.77083333333</v>
      </c>
      <c r="O30" s="18" t="n">
        <f aca="false">O28*CHOOSE(O2,Assumptions!$D$61,Assumptions!$D$62,Assumptions!$D$63)*(Assumptions!$B$10*Assumptions!$B$14+(1-Assumptions!$B$10)*Assumptions!$B$15)/12</f>
        <v>4321.875</v>
      </c>
      <c r="P30" s="18" t="n">
        <f aca="false">P28*CHOOSE(P2,Assumptions!$D$61,Assumptions!$D$62,Assumptions!$D$63)*(Assumptions!$B$10*Assumptions!$B$14+(1-Assumptions!$B$10)*Assumptions!$B$15)/12</f>
        <v>4561.97916666667</v>
      </c>
      <c r="Q30" s="18" t="n">
        <f aca="false">Q28*CHOOSE(Q2,Assumptions!$D$61,Assumptions!$D$62,Assumptions!$D$63)*(Assumptions!$B$10*Assumptions!$B$14+(1-Assumptions!$B$10)*Assumptions!$B$15)/12</f>
        <v>4802.08333333333</v>
      </c>
      <c r="R30" s="18" t="n">
        <f aca="false">R28*CHOOSE(R2,Assumptions!$D$61,Assumptions!$D$62,Assumptions!$D$63)*(Assumptions!$B$10*Assumptions!$B$14+(1-Assumptions!$B$10)*Assumptions!$B$15)/12</f>
        <v>5042.1875</v>
      </c>
      <c r="S30" s="18" t="n">
        <f aca="false">S28*CHOOSE(S2,Assumptions!$D$61,Assumptions!$D$62,Assumptions!$D$63)*(Assumptions!$B$10*Assumptions!$B$14+(1-Assumptions!$B$10)*Assumptions!$B$15)/12</f>
        <v>5282.29166666667</v>
      </c>
      <c r="T30" s="18" t="n">
        <f aca="false">T28*CHOOSE(T2,Assumptions!$D$61,Assumptions!$D$62,Assumptions!$D$63)*(Assumptions!$B$10*Assumptions!$B$14+(1-Assumptions!$B$10)*Assumptions!$B$15)/12</f>
        <v>5522.39583333333</v>
      </c>
      <c r="U30" s="18" t="n">
        <f aca="false">U28*CHOOSE(U2,Assumptions!$D$61,Assumptions!$D$62,Assumptions!$D$63)*(Assumptions!$B$10*Assumptions!$B$14+(1-Assumptions!$B$10)*Assumptions!$B$15)/12</f>
        <v>5762.5</v>
      </c>
      <c r="V30" s="18" t="n">
        <f aca="false">V28*CHOOSE(V2,Assumptions!$D$61,Assumptions!$D$62,Assumptions!$D$63)*(Assumptions!$B$10*Assumptions!$B$14+(1-Assumptions!$B$10)*Assumptions!$B$15)/12</f>
        <v>6002.60416666667</v>
      </c>
      <c r="W30" s="18" t="n">
        <f aca="false">W28*CHOOSE(W2,Assumptions!$D$61,Assumptions!$D$62,Assumptions!$D$63)*(Assumptions!$B$10*Assumptions!$B$14+(1-Assumptions!$B$10)*Assumptions!$B$15)/12</f>
        <v>6242.70833333333</v>
      </c>
      <c r="X30" s="18" t="n">
        <f aca="false">X28*CHOOSE(X2,Assumptions!$D$61,Assumptions!$D$62,Assumptions!$D$63)*(Assumptions!$B$10*Assumptions!$B$14+(1-Assumptions!$B$10)*Assumptions!$B$15)/12</f>
        <v>6482.8125</v>
      </c>
      <c r="Y30" s="18" t="n">
        <f aca="false">Y28*CHOOSE(Y2,Assumptions!$D$61,Assumptions!$D$62,Assumptions!$D$63)*(Assumptions!$B$10*Assumptions!$B$14+(1-Assumptions!$B$10)*Assumptions!$B$15)/12</f>
        <v>6722.91666666667</v>
      </c>
      <c r="Z30" s="18" t="n">
        <f aca="false">Z28*CHOOSE(Z2,Assumptions!$D$61,Assumptions!$D$62,Assumptions!$D$63)*(Assumptions!$B$10*Assumptions!$B$14+(1-Assumptions!$B$10)*Assumptions!$B$15)/12</f>
        <v>7043.05555555556</v>
      </c>
      <c r="AA30" s="18" t="n">
        <f aca="false">AA28*CHOOSE(AA2,Assumptions!$D$61,Assumptions!$D$62,Assumptions!$D$63)*(Assumptions!$B$10*Assumptions!$B$14+(1-Assumptions!$B$10)*Assumptions!$B$15)/12</f>
        <v>7363.19444444444</v>
      </c>
      <c r="AB30" s="18" t="n">
        <f aca="false">AB28*CHOOSE(AB2,Assumptions!$D$61,Assumptions!$D$62,Assumptions!$D$63)*(Assumptions!$B$10*Assumptions!$B$14+(1-Assumptions!$B$10)*Assumptions!$B$15)/12</f>
        <v>7683.33333333333</v>
      </c>
      <c r="AC30" s="18" t="n">
        <f aca="false">AC28*CHOOSE(AC2,Assumptions!$D$61,Assumptions!$D$62,Assumptions!$D$63)*(Assumptions!$B$10*Assumptions!$B$14+(1-Assumptions!$B$10)*Assumptions!$B$15)/12</f>
        <v>8003.47222222222</v>
      </c>
      <c r="AD30" s="18" t="n">
        <f aca="false">AD28*CHOOSE(AD2,Assumptions!$D$61,Assumptions!$D$62,Assumptions!$D$63)*(Assumptions!$B$10*Assumptions!$B$14+(1-Assumptions!$B$10)*Assumptions!$B$15)/12</f>
        <v>8323.61111111111</v>
      </c>
      <c r="AE30" s="18" t="n">
        <f aca="false">AE28*CHOOSE(AE2,Assumptions!$D$61,Assumptions!$D$62,Assumptions!$D$63)*(Assumptions!$B$10*Assumptions!$B$14+(1-Assumptions!$B$10)*Assumptions!$B$15)/12</f>
        <v>8643.75</v>
      </c>
      <c r="AF30" s="18" t="n">
        <f aca="false">AF28*CHOOSE(AF2,Assumptions!$D$61,Assumptions!$D$62,Assumptions!$D$63)*(Assumptions!$B$10*Assumptions!$B$14+(1-Assumptions!$B$10)*Assumptions!$B$15)/12</f>
        <v>8963.88888888889</v>
      </c>
      <c r="AG30" s="18" t="n">
        <f aca="false">AG28*CHOOSE(AG2,Assumptions!$D$61,Assumptions!$D$62,Assumptions!$D$63)*(Assumptions!$B$10*Assumptions!$B$14+(1-Assumptions!$B$10)*Assumptions!$B$15)/12</f>
        <v>9284.02777777777</v>
      </c>
      <c r="AH30" s="18" t="n">
        <f aca="false">AH28*CHOOSE(AH2,Assumptions!$D$61,Assumptions!$D$62,Assumptions!$D$63)*(Assumptions!$B$10*Assumptions!$B$14+(1-Assumptions!$B$10)*Assumptions!$B$15)/12</f>
        <v>9604.16666666666</v>
      </c>
      <c r="AI30" s="18" t="n">
        <f aca="false">AI28*CHOOSE(AI2,Assumptions!$D$61,Assumptions!$D$62,Assumptions!$D$63)*(Assumptions!$B$10*Assumptions!$B$14+(1-Assumptions!$B$10)*Assumptions!$B$15)/12</f>
        <v>9924.30555555555</v>
      </c>
      <c r="AJ30" s="18" t="n">
        <f aca="false">AJ28*CHOOSE(AJ2,Assumptions!$D$61,Assumptions!$D$62,Assumptions!$D$63)*(Assumptions!$B$10*Assumptions!$B$14+(1-Assumptions!$B$10)*Assumptions!$B$15)/12</f>
        <v>10244.4444444444</v>
      </c>
      <c r="AK30" s="18" t="n">
        <f aca="false">AK28*CHOOSE(AK2,Assumptions!$D$61,Assumptions!$D$62,Assumptions!$D$63)*(Assumptions!$B$10*Assumptions!$B$14+(1-Assumptions!$B$10)*Assumptions!$B$15)/12</f>
        <v>10564.5833333333</v>
      </c>
    </row>
    <row r="31" customFormat="false" ht="15" hidden="false" customHeight="false" outlineLevel="0" collapsed="false">
      <c r="A31" s="2" t="s">
        <v>158</v>
      </c>
      <c r="B31" s="18" t="n">
        <f aca="false">CHOOSE(B2,Assumptions!$D$55,Assumptions!$D$56,Assumptions!$D$57)</f>
        <v>35000</v>
      </c>
      <c r="C31" s="18" t="n">
        <f aca="false">CHOOSE(C2,Assumptions!$D$55,Assumptions!$D$56,Assumptions!$D$57)</f>
        <v>35000</v>
      </c>
      <c r="D31" s="18" t="n">
        <f aca="false">CHOOSE(D2,Assumptions!$D$55,Assumptions!$D$56,Assumptions!$D$57)</f>
        <v>35000</v>
      </c>
      <c r="E31" s="18" t="n">
        <f aca="false">CHOOSE(E2,Assumptions!$D$55,Assumptions!$D$56,Assumptions!$D$57)</f>
        <v>35000</v>
      </c>
      <c r="F31" s="18" t="n">
        <f aca="false">CHOOSE(F2,Assumptions!$D$55,Assumptions!$D$56,Assumptions!$D$57)</f>
        <v>35000</v>
      </c>
      <c r="G31" s="18" t="n">
        <f aca="false">CHOOSE(G2,Assumptions!$D$55,Assumptions!$D$56,Assumptions!$D$57)</f>
        <v>35000</v>
      </c>
      <c r="H31" s="18" t="n">
        <f aca="false">CHOOSE(H2,Assumptions!$D$55,Assumptions!$D$56,Assumptions!$D$57)</f>
        <v>35000</v>
      </c>
      <c r="I31" s="18" t="n">
        <f aca="false">CHOOSE(I2,Assumptions!$D$55,Assumptions!$D$56,Assumptions!$D$57)</f>
        <v>35000</v>
      </c>
      <c r="J31" s="18" t="n">
        <f aca="false">CHOOSE(J2,Assumptions!$D$55,Assumptions!$D$56,Assumptions!$D$57)</f>
        <v>35000</v>
      </c>
      <c r="K31" s="18" t="n">
        <f aca="false">CHOOSE(K2,Assumptions!$D$55,Assumptions!$D$56,Assumptions!$D$57)</f>
        <v>35000</v>
      </c>
      <c r="L31" s="18" t="n">
        <f aca="false">CHOOSE(L2,Assumptions!$D$55,Assumptions!$D$56,Assumptions!$D$57)</f>
        <v>35000</v>
      </c>
      <c r="M31" s="18" t="n">
        <f aca="false">CHOOSE(M2,Assumptions!$D$55,Assumptions!$D$56,Assumptions!$D$57)</f>
        <v>35000</v>
      </c>
      <c r="N31" s="18" t="n">
        <f aca="false">CHOOSE(N2,Assumptions!$D$55,Assumptions!$D$56,Assumptions!$D$57)</f>
        <v>70000</v>
      </c>
      <c r="O31" s="18" t="n">
        <f aca="false">CHOOSE(O2,Assumptions!$D$55,Assumptions!$D$56,Assumptions!$D$57)</f>
        <v>70000</v>
      </c>
      <c r="P31" s="18" t="n">
        <f aca="false">CHOOSE(P2,Assumptions!$D$55,Assumptions!$D$56,Assumptions!$D$57)</f>
        <v>70000</v>
      </c>
      <c r="Q31" s="18" t="n">
        <f aca="false">CHOOSE(Q2,Assumptions!$D$55,Assumptions!$D$56,Assumptions!$D$57)</f>
        <v>70000</v>
      </c>
      <c r="R31" s="18" t="n">
        <f aca="false">CHOOSE(R2,Assumptions!$D$55,Assumptions!$D$56,Assumptions!$D$57)</f>
        <v>70000</v>
      </c>
      <c r="S31" s="18" t="n">
        <f aca="false">CHOOSE(S2,Assumptions!$D$55,Assumptions!$D$56,Assumptions!$D$57)</f>
        <v>70000</v>
      </c>
      <c r="T31" s="18" t="n">
        <f aca="false">CHOOSE(T2,Assumptions!$D$55,Assumptions!$D$56,Assumptions!$D$57)</f>
        <v>70000</v>
      </c>
      <c r="U31" s="18" t="n">
        <f aca="false">CHOOSE(U2,Assumptions!$D$55,Assumptions!$D$56,Assumptions!$D$57)</f>
        <v>70000</v>
      </c>
      <c r="V31" s="18" t="n">
        <f aca="false">CHOOSE(V2,Assumptions!$D$55,Assumptions!$D$56,Assumptions!$D$57)</f>
        <v>70000</v>
      </c>
      <c r="W31" s="18" t="n">
        <f aca="false">CHOOSE(W2,Assumptions!$D$55,Assumptions!$D$56,Assumptions!$D$57)</f>
        <v>70000</v>
      </c>
      <c r="X31" s="18" t="n">
        <f aca="false">CHOOSE(X2,Assumptions!$D$55,Assumptions!$D$56,Assumptions!$D$57)</f>
        <v>70000</v>
      </c>
      <c r="Y31" s="18" t="n">
        <f aca="false">CHOOSE(Y2,Assumptions!$D$55,Assumptions!$D$56,Assumptions!$D$57)</f>
        <v>70000</v>
      </c>
      <c r="Z31" s="18" t="n">
        <f aca="false">CHOOSE(Z2,Assumptions!$D$55,Assumptions!$D$56,Assumptions!$D$57)</f>
        <v>110000</v>
      </c>
      <c r="AA31" s="18" t="n">
        <f aca="false">CHOOSE(AA2,Assumptions!$D$55,Assumptions!$D$56,Assumptions!$D$57)</f>
        <v>110000</v>
      </c>
      <c r="AB31" s="18" t="n">
        <f aca="false">CHOOSE(AB2,Assumptions!$D$55,Assumptions!$D$56,Assumptions!$D$57)</f>
        <v>110000</v>
      </c>
      <c r="AC31" s="18" t="n">
        <f aca="false">CHOOSE(AC2,Assumptions!$D$55,Assumptions!$D$56,Assumptions!$D$57)</f>
        <v>110000</v>
      </c>
      <c r="AD31" s="18" t="n">
        <f aca="false">CHOOSE(AD2,Assumptions!$D$55,Assumptions!$D$56,Assumptions!$D$57)</f>
        <v>110000</v>
      </c>
      <c r="AE31" s="18" t="n">
        <f aca="false">CHOOSE(AE2,Assumptions!$D$55,Assumptions!$D$56,Assumptions!$D$57)</f>
        <v>110000</v>
      </c>
      <c r="AF31" s="18" t="n">
        <f aca="false">CHOOSE(AF2,Assumptions!$D$55,Assumptions!$D$56,Assumptions!$D$57)</f>
        <v>110000</v>
      </c>
      <c r="AG31" s="18" t="n">
        <f aca="false">CHOOSE(AG2,Assumptions!$D$55,Assumptions!$D$56,Assumptions!$D$57)</f>
        <v>110000</v>
      </c>
      <c r="AH31" s="18" t="n">
        <f aca="false">CHOOSE(AH2,Assumptions!$D$55,Assumptions!$D$56,Assumptions!$D$57)</f>
        <v>110000</v>
      </c>
      <c r="AI31" s="18" t="n">
        <f aca="false">CHOOSE(AI2,Assumptions!$D$55,Assumptions!$D$56,Assumptions!$D$57)</f>
        <v>110000</v>
      </c>
      <c r="AJ31" s="18" t="n">
        <f aca="false">CHOOSE(AJ2,Assumptions!$D$55,Assumptions!$D$56,Assumptions!$D$57)</f>
        <v>110000</v>
      </c>
      <c r="AK31" s="18" t="n">
        <f aca="false">CHOOSE(AK2,Assumptions!$D$55,Assumptions!$D$56,Assumptions!$D$57)</f>
        <v>110000</v>
      </c>
    </row>
    <row r="32" customFormat="false" ht="15" hidden="false" customHeight="false" outlineLevel="0" collapsed="false">
      <c r="A32" s="2" t="s">
        <v>159</v>
      </c>
      <c r="B32" s="18" t="n">
        <f aca="false">IF(B1=0,Assumptions!$B$18,0)+Assumptions!$B$17+B25*Assumptions!$B$21+B24*Assumptions!$B$22</f>
        <v>50900</v>
      </c>
      <c r="C32" s="18" t="n">
        <f aca="false">IF(C1=0,Assumptions!$B$18,0)+Assumptions!$B$17+C25*Assumptions!$B$21+C24*Assumptions!$B$22</f>
        <v>5900</v>
      </c>
      <c r="D32" s="18" t="n">
        <f aca="false">IF(D1=0,Assumptions!$B$18,0)+Assumptions!$B$17+D25*Assumptions!$B$21+D24*Assumptions!$B$22</f>
        <v>5900</v>
      </c>
      <c r="E32" s="18" t="n">
        <f aca="false">IF(E1=0,Assumptions!$B$18,0)+Assumptions!$B$17+E25*Assumptions!$B$21+E24*Assumptions!$B$22</f>
        <v>5900</v>
      </c>
      <c r="F32" s="18" t="n">
        <f aca="false">IF(F1=0,Assumptions!$B$18,0)+Assumptions!$B$17+F25*Assumptions!$B$21+F24*Assumptions!$B$22</f>
        <v>5900</v>
      </c>
      <c r="G32" s="18" t="n">
        <f aca="false">IF(G1=0,Assumptions!$B$18,0)+Assumptions!$B$17+G25*Assumptions!$B$21+G24*Assumptions!$B$22</f>
        <v>5900</v>
      </c>
      <c r="H32" s="18" t="n">
        <f aca="false">IF(H1=0,Assumptions!$B$18,0)+Assumptions!$B$17+H25*Assumptions!$B$21+H24*Assumptions!$B$22</f>
        <v>5900</v>
      </c>
      <c r="I32" s="18" t="n">
        <f aca="false">IF(I1=0,Assumptions!$B$18,0)+Assumptions!$B$17+I25*Assumptions!$B$21+I24*Assumptions!$B$22</f>
        <v>5900</v>
      </c>
      <c r="J32" s="18" t="n">
        <f aca="false">IF(J1=0,Assumptions!$B$18,0)+Assumptions!$B$17+J25*Assumptions!$B$21+J24*Assumptions!$B$22</f>
        <v>5900</v>
      </c>
      <c r="K32" s="18" t="n">
        <f aca="false">IF(K1=0,Assumptions!$B$18,0)+Assumptions!$B$17+K25*Assumptions!$B$21+K24*Assumptions!$B$22</f>
        <v>5900</v>
      </c>
      <c r="L32" s="18" t="n">
        <f aca="false">IF(L1=0,Assumptions!$B$18,0)+Assumptions!$B$17+L25*Assumptions!$B$21+L24*Assumptions!$B$22</f>
        <v>5900</v>
      </c>
      <c r="M32" s="18" t="n">
        <f aca="false">IF(M1=0,Assumptions!$B$18,0)+Assumptions!$B$17+M25*Assumptions!$B$21+M24*Assumptions!$B$22</f>
        <v>5900</v>
      </c>
      <c r="N32" s="18" t="n">
        <f aca="false">IF(N1=0,Assumptions!$B$18,0)+Assumptions!$B$17+N25*Assumptions!$B$21+N24*Assumptions!$B$22</f>
        <v>18200</v>
      </c>
      <c r="O32" s="18" t="n">
        <f aca="false">IF(O1=0,Assumptions!$B$18,0)+Assumptions!$B$17+O25*Assumptions!$B$21+O24*Assumptions!$B$22</f>
        <v>18200</v>
      </c>
      <c r="P32" s="18" t="n">
        <f aca="false">IF(P1=0,Assumptions!$B$18,0)+Assumptions!$B$17+P25*Assumptions!$B$21+P24*Assumptions!$B$22</f>
        <v>18200</v>
      </c>
      <c r="Q32" s="18" t="n">
        <f aca="false">IF(Q1=0,Assumptions!$B$18,0)+Assumptions!$B$17+Q25*Assumptions!$B$21+Q24*Assumptions!$B$22</f>
        <v>18200</v>
      </c>
      <c r="R32" s="18" t="n">
        <f aca="false">IF(R1=0,Assumptions!$B$18,0)+Assumptions!$B$17+R25*Assumptions!$B$21+R24*Assumptions!$B$22</f>
        <v>18200</v>
      </c>
      <c r="S32" s="18" t="n">
        <f aca="false">IF(S1=0,Assumptions!$B$18,0)+Assumptions!$B$17+S25*Assumptions!$B$21+S24*Assumptions!$B$22</f>
        <v>18200</v>
      </c>
      <c r="T32" s="18" t="n">
        <f aca="false">IF(T1=0,Assumptions!$B$18,0)+Assumptions!$B$17+T25*Assumptions!$B$21+T24*Assumptions!$B$22</f>
        <v>18200</v>
      </c>
      <c r="U32" s="18" t="n">
        <f aca="false">IF(U1=0,Assumptions!$B$18,0)+Assumptions!$B$17+U25*Assumptions!$B$21+U24*Assumptions!$B$22</f>
        <v>18200</v>
      </c>
      <c r="V32" s="18" t="n">
        <f aca="false">IF(V1=0,Assumptions!$B$18,0)+Assumptions!$B$17+V25*Assumptions!$B$21+V24*Assumptions!$B$22</f>
        <v>18200</v>
      </c>
      <c r="W32" s="18" t="n">
        <f aca="false">IF(W1=0,Assumptions!$B$18,0)+Assumptions!$B$17+W25*Assumptions!$B$21+W24*Assumptions!$B$22</f>
        <v>18200</v>
      </c>
      <c r="X32" s="18" t="n">
        <f aca="false">IF(X1=0,Assumptions!$B$18,0)+Assumptions!$B$17+X25*Assumptions!$B$21+X24*Assumptions!$B$22</f>
        <v>18200</v>
      </c>
      <c r="Y32" s="18" t="n">
        <f aca="false">IF(Y1=0,Assumptions!$B$18,0)+Assumptions!$B$17+Y25*Assumptions!$B$21+Y24*Assumptions!$B$22</f>
        <v>18200</v>
      </c>
      <c r="Z32" s="18" t="n">
        <f aca="false">IF(Z1=0,Assumptions!$B$18,0)+Assumptions!$B$17+Z25*Assumptions!$B$21+Z24*Assumptions!$B$22</f>
        <v>35600</v>
      </c>
      <c r="AA32" s="18" t="n">
        <f aca="false">IF(AA1=0,Assumptions!$B$18,0)+Assumptions!$B$17+AA25*Assumptions!$B$21+AA24*Assumptions!$B$22</f>
        <v>35600</v>
      </c>
      <c r="AB32" s="18" t="n">
        <f aca="false">IF(AB1=0,Assumptions!$B$18,0)+Assumptions!$B$17+AB25*Assumptions!$B$21+AB24*Assumptions!$B$22</f>
        <v>35600</v>
      </c>
      <c r="AC32" s="18" t="n">
        <f aca="false">IF(AC1=0,Assumptions!$B$18,0)+Assumptions!$B$17+AC25*Assumptions!$B$21+AC24*Assumptions!$B$22</f>
        <v>35600</v>
      </c>
      <c r="AD32" s="18" t="n">
        <f aca="false">IF(AD1=0,Assumptions!$B$18,0)+Assumptions!$B$17+AD25*Assumptions!$B$21+AD24*Assumptions!$B$22</f>
        <v>35600</v>
      </c>
      <c r="AE32" s="18" t="n">
        <f aca="false">IF(AE1=0,Assumptions!$B$18,0)+Assumptions!$B$17+AE25*Assumptions!$B$21+AE24*Assumptions!$B$22</f>
        <v>35600</v>
      </c>
      <c r="AF32" s="18" t="n">
        <f aca="false">IF(AF1=0,Assumptions!$B$18,0)+Assumptions!$B$17+AF25*Assumptions!$B$21+AF24*Assumptions!$B$22</f>
        <v>35600</v>
      </c>
      <c r="AG32" s="18" t="n">
        <f aca="false">IF(AG1=0,Assumptions!$B$18,0)+Assumptions!$B$17+AG25*Assumptions!$B$21+AG24*Assumptions!$B$22</f>
        <v>35600</v>
      </c>
      <c r="AH32" s="18" t="n">
        <f aca="false">IF(AH1=0,Assumptions!$B$18,0)+Assumptions!$B$17+AH25*Assumptions!$B$21+AH24*Assumptions!$B$22</f>
        <v>35600</v>
      </c>
      <c r="AI32" s="18" t="n">
        <f aca="false">IF(AI1=0,Assumptions!$B$18,0)+Assumptions!$B$17+AI25*Assumptions!$B$21+AI24*Assumptions!$B$22</f>
        <v>35600</v>
      </c>
      <c r="AJ32" s="18" t="n">
        <f aca="false">IF(AJ1=0,Assumptions!$B$18,0)+Assumptions!$B$17+AJ25*Assumptions!$B$21+AJ24*Assumptions!$B$22</f>
        <v>35600</v>
      </c>
      <c r="AK32" s="18" t="n">
        <f aca="false">IF(AK1=0,Assumptions!$B$18,0)+Assumptions!$B$17+AK25*Assumptions!$B$21+AK24*Assumptions!$B$22</f>
        <v>35600</v>
      </c>
    </row>
    <row r="33" customFormat="false" ht="15" hidden="false" customHeight="false" outlineLevel="0" collapsed="false">
      <c r="A33" s="3" t="s">
        <v>160</v>
      </c>
      <c r="B33" s="18" t="n">
        <f aca="false">B6+B29+B30+B31+B32</f>
        <v>537897.569444444</v>
      </c>
      <c r="C33" s="18" t="n">
        <f aca="false">C6+C29+C30+C31+C32</f>
        <v>354057.638888889</v>
      </c>
      <c r="D33" s="18" t="n">
        <f aca="false">D6+D29+D30+D31+D32</f>
        <v>354217.708333333</v>
      </c>
      <c r="E33" s="18" t="n">
        <f aca="false">E6+E29+E30+E31+E32</f>
        <v>109377.777777778</v>
      </c>
      <c r="F33" s="18" t="n">
        <f aca="false">F6+F29+F30+F31+F32</f>
        <v>109537.847222222</v>
      </c>
      <c r="G33" s="18" t="n">
        <f aca="false">G6+G29+G30+G31+G32</f>
        <v>109697.916666667</v>
      </c>
      <c r="H33" s="18" t="n">
        <f aca="false">H6+H29+H30+H31+H32</f>
        <v>109857.986111111</v>
      </c>
      <c r="I33" s="18" t="n">
        <f aca="false">I6+I29+I30+I31+I32</f>
        <v>110018.055555556</v>
      </c>
      <c r="J33" s="18" t="n">
        <f aca="false">J6+J29+J30+J31+J32</f>
        <v>110178.125</v>
      </c>
      <c r="K33" s="18" t="n">
        <f aca="false">K6+K29+K30+K31+K32</f>
        <v>110338.194444444</v>
      </c>
      <c r="L33" s="18" t="n">
        <f aca="false">L6+L29+L30+L31+L32</f>
        <v>110498.263888889</v>
      </c>
      <c r="M33" s="18" t="n">
        <f aca="false">M6+M29+M30+M31+M32</f>
        <v>110658.333333333</v>
      </c>
      <c r="N33" s="18" t="n">
        <f aca="false">N6+N29+N30+N31+N32</f>
        <v>153656.770833333</v>
      </c>
      <c r="O33" s="18" t="n">
        <f aca="false">O6+O29+O30+O31+O32</f>
        <v>153896.875</v>
      </c>
      <c r="P33" s="18" t="n">
        <f aca="false">P6+P29+P30+P31+P32</f>
        <v>154136.979166667</v>
      </c>
      <c r="Q33" s="18" t="n">
        <f aca="false">Q6+Q29+Q30+Q31+Q32</f>
        <v>154377.083333333</v>
      </c>
      <c r="R33" s="18" t="n">
        <f aca="false">R6+R29+R30+R31+R32</f>
        <v>154617.1875</v>
      </c>
      <c r="S33" s="18" t="n">
        <f aca="false">S6+S29+S30+S31+S32</f>
        <v>154857.291666667</v>
      </c>
      <c r="T33" s="18" t="n">
        <f aca="false">T6+T29+T30+T31+T32</f>
        <v>155097.395833333</v>
      </c>
      <c r="U33" s="18" t="n">
        <f aca="false">U6+U29+U30+U31+U32</f>
        <v>155337.5</v>
      </c>
      <c r="V33" s="18" t="n">
        <f aca="false">V6+V29+V30+V31+V32</f>
        <v>155577.604166667</v>
      </c>
      <c r="W33" s="18" t="n">
        <f aca="false">W6+W29+W30+W31+W32</f>
        <v>155817.708333333</v>
      </c>
      <c r="X33" s="18" t="n">
        <f aca="false">X6+X29+X30+X31+X32</f>
        <v>156057.8125</v>
      </c>
      <c r="Y33" s="18" t="n">
        <f aca="false">Y6+Y29+Y30+Y31+Y32</f>
        <v>156297.916666667</v>
      </c>
      <c r="Z33" s="18" t="n">
        <f aca="false">Z6+Z29+Z30+Z31+Z32</f>
        <v>214476.388888889</v>
      </c>
      <c r="AA33" s="18" t="n">
        <f aca="false">AA6+AA29+AA30+AA31+AA32</f>
        <v>214796.527777778</v>
      </c>
      <c r="AB33" s="18" t="n">
        <f aca="false">AB6+AB29+AB30+AB31+AB32</f>
        <v>215116.666666667</v>
      </c>
      <c r="AC33" s="18" t="n">
        <f aca="false">AC6+AC29+AC30+AC31+AC32</f>
        <v>215436.805555556</v>
      </c>
      <c r="AD33" s="18" t="n">
        <f aca="false">AD6+AD29+AD30+AD31+AD32</f>
        <v>215756.944444444</v>
      </c>
      <c r="AE33" s="18" t="n">
        <f aca="false">AE6+AE29+AE30+AE31+AE32</f>
        <v>216077.083333333</v>
      </c>
      <c r="AF33" s="18" t="n">
        <f aca="false">AF6+AF29+AF30+AF31+AF32</f>
        <v>216397.222222222</v>
      </c>
      <c r="AG33" s="18" t="n">
        <f aca="false">AG6+AG29+AG30+AG31+AG32</f>
        <v>216717.361111111</v>
      </c>
      <c r="AH33" s="18" t="n">
        <f aca="false">AH6+AH29+AH30+AH31+AH32</f>
        <v>217037.5</v>
      </c>
      <c r="AI33" s="18" t="n">
        <f aca="false">AI6+AI29+AI30+AI31+AI32</f>
        <v>217357.638888889</v>
      </c>
      <c r="AJ33" s="18" t="n">
        <f aca="false">AJ6+AJ29+AJ30+AJ31+AJ32</f>
        <v>217677.777777778</v>
      </c>
      <c r="AK33" s="18" t="n">
        <f aca="false">AK6+AK29+AK30+AK31+AK32</f>
        <v>217997.916666667</v>
      </c>
    </row>
    <row r="34" customFormat="false" ht="15" hidden="false" customHeight="false" outlineLevel="0" collapsed="false">
      <c r="A34" s="3" t="s">
        <v>161</v>
      </c>
      <c r="B34" s="18" t="n">
        <f aca="false">B26-B33</f>
        <v>-525230.902777778</v>
      </c>
      <c r="C34" s="18" t="n">
        <f aca="false">C26-C33</f>
        <v>-341390.972222222</v>
      </c>
      <c r="D34" s="18" t="n">
        <f aca="false">D26-D33</f>
        <v>-341551.041666667</v>
      </c>
      <c r="E34" s="18" t="n">
        <f aca="false">E26-E33</f>
        <v>-96711.1111111111</v>
      </c>
      <c r="F34" s="18" t="n">
        <f aca="false">F26-F33</f>
        <v>-96871.1805555556</v>
      </c>
      <c r="G34" s="18" t="n">
        <f aca="false">G26-G33</f>
        <v>-97031.25</v>
      </c>
      <c r="H34" s="18" t="n">
        <f aca="false">H26-H33</f>
        <v>-97191.3194444445</v>
      </c>
      <c r="I34" s="18" t="n">
        <f aca="false">I26-I33</f>
        <v>-97351.3888888889</v>
      </c>
      <c r="J34" s="18" t="n">
        <f aca="false">J26-J33</f>
        <v>-97511.4583333333</v>
      </c>
      <c r="K34" s="18" t="n">
        <f aca="false">K26-K33</f>
        <v>468591.51984127</v>
      </c>
      <c r="L34" s="18" t="n">
        <f aca="false">L26-L33</f>
        <v>370645.236111111</v>
      </c>
      <c r="M34" s="18" t="n">
        <f aca="false">M26-M33</f>
        <v>685237.646164021</v>
      </c>
      <c r="N34" s="18" t="n">
        <f aca="false">N26-N33</f>
        <v>192744.18296627</v>
      </c>
      <c r="O34" s="18" t="n">
        <f aca="false">O26-O33</f>
        <v>190769.85577629</v>
      </c>
      <c r="P34" s="18" t="n">
        <f aca="false">P26-P33</f>
        <v>188890.587737475</v>
      </c>
      <c r="Q34" s="18" t="n">
        <f aca="false">Q26-Q33</f>
        <v>133506.446579857</v>
      </c>
      <c r="R34" s="18" t="n">
        <f aca="false">R26-R33</f>
        <v>130394.211959197</v>
      </c>
      <c r="S34" s="18" t="n">
        <f aca="false">S26-S33</f>
        <v>127431.844861237</v>
      </c>
      <c r="T34" s="18" t="n">
        <f aca="false">T26-T33</f>
        <v>124611.851909842</v>
      </c>
      <c r="U34" s="18" t="n">
        <f aca="false">U26-U33</f>
        <v>121927.114397683</v>
      </c>
      <c r="V34" s="18" t="n">
        <f aca="false">V26-V33</f>
        <v>119370.869552799</v>
      </c>
      <c r="W34" s="18" t="n">
        <f aca="false">W26-W33</f>
        <v>116936.692741826</v>
      </c>
      <c r="X34" s="18" t="n">
        <f aca="false">X26-X33</f>
        <v>114618.480563068</v>
      </c>
      <c r="Y34" s="18" t="n">
        <f aca="false">Y26-Y33</f>
        <v>112410.434784914</v>
      </c>
      <c r="Z34" s="18" t="n">
        <f aca="false">Z26-Z33</f>
        <v>94278.7365317798</v>
      </c>
      <c r="AA34" s="18" t="n">
        <f aca="false">AA26-AA33</f>
        <v>90912.1155385241</v>
      </c>
      <c r="AB34" s="18" t="n">
        <f aca="false">AB26-AB33</f>
        <v>87702.6306504867</v>
      </c>
      <c r="AC34" s="18" t="n">
        <f aca="false">AC26-AC33</f>
        <v>84642.4250624068</v>
      </c>
      <c r="AD34" s="18" t="n">
        <f aca="false">AD26-AD33</f>
        <v>81724.0348092865</v>
      </c>
      <c r="AE34" s="18" t="n">
        <f aca="false">AE26-AE33</f>
        <v>78940.3691243777</v>
      </c>
      <c r="AF34" s="18" t="n">
        <f aca="false">AF26-AF33</f>
        <v>76284.6917792699</v>
      </c>
      <c r="AG34" s="18" t="n">
        <f aca="false">AG26-AG33</f>
        <v>73750.603356973</v>
      </c>
      <c r="AH34" s="18" t="n">
        <f aca="false">AH26-AH33</f>
        <v>71332.0244113467</v>
      </c>
      <c r="AI34" s="18" t="n">
        <f aca="false">AI26-AI33</f>
        <v>69023.1794685571</v>
      </c>
      <c r="AJ34" s="18" t="n">
        <f aca="false">AJ26-AJ33</f>
        <v>66818.5818284625</v>
      </c>
      <c r="AK34" s="18" t="n">
        <f aca="false">AK26-AK33</f>
        <v>64713.0191259283</v>
      </c>
    </row>
    <row r="35" customFormat="false" ht="15" hidden="false" customHeight="false" outlineLevel="0" collapsed="false">
      <c r="A35" s="3" t="s">
        <v>162</v>
      </c>
      <c r="B35" s="18" t="n">
        <f aca="false">B34</f>
        <v>-525230.902777778</v>
      </c>
      <c r="C35" s="18" t="n">
        <f aca="false">B35+C34</f>
        <v>-866621.875</v>
      </c>
      <c r="D35" s="18" t="n">
        <f aca="false">C35+D34</f>
        <v>-1208172.91666667</v>
      </c>
      <c r="E35" s="18" t="n">
        <f aca="false">D35+E34</f>
        <v>-1304884.02777778</v>
      </c>
      <c r="F35" s="18" t="n">
        <f aca="false">E35+F34</f>
        <v>-1401755.20833333</v>
      </c>
      <c r="G35" s="18" t="n">
        <f aca="false">F35+G34</f>
        <v>-1498786.45833333</v>
      </c>
      <c r="H35" s="18" t="n">
        <f aca="false">G35+H34</f>
        <v>-1595977.77777778</v>
      </c>
      <c r="I35" s="18" t="n">
        <f aca="false">H35+I34</f>
        <v>-1693329.16666667</v>
      </c>
      <c r="J35" s="18" t="n">
        <f aca="false">I35+J34</f>
        <v>-1790840.625</v>
      </c>
      <c r="K35" s="18" t="n">
        <f aca="false">J35+K34</f>
        <v>-1322249.10515873</v>
      </c>
      <c r="L35" s="18" t="n">
        <f aca="false">K35+L34</f>
        <v>-951603.869047619</v>
      </c>
      <c r="M35" s="18" t="n">
        <f aca="false">L35+M34</f>
        <v>-266366.222883598</v>
      </c>
      <c r="N35" s="18" t="n">
        <f aca="false">M35+N34</f>
        <v>-73622.0399173277</v>
      </c>
      <c r="O35" s="18" t="n">
        <f aca="false">N35+O34</f>
        <v>117147.815858962</v>
      </c>
      <c r="P35" s="18" t="n">
        <f aca="false">O35+P34</f>
        <v>306038.403596437</v>
      </c>
      <c r="Q35" s="18" t="n">
        <f aca="false">P35+Q34</f>
        <v>439544.850176294</v>
      </c>
      <c r="R35" s="18" t="n">
        <f aca="false">Q35+R34</f>
        <v>569939.062135491</v>
      </c>
      <c r="S35" s="18" t="n">
        <f aca="false">R35+S34</f>
        <v>697370.906996728</v>
      </c>
      <c r="T35" s="18" t="n">
        <f aca="false">S35+T34</f>
        <v>821982.75890657</v>
      </c>
      <c r="U35" s="18" t="n">
        <f aca="false">T35+U34</f>
        <v>943909.873304253</v>
      </c>
      <c r="V35" s="18" t="n">
        <f aca="false">U35+V34</f>
        <v>1063280.74285705</v>
      </c>
      <c r="W35" s="18" t="n">
        <f aca="false">V35+W34</f>
        <v>1180217.43559888</v>
      </c>
      <c r="X35" s="18" t="n">
        <f aca="false">W35+X34</f>
        <v>1294835.91616195</v>
      </c>
      <c r="Y35" s="18" t="n">
        <f aca="false">X35+Y34</f>
        <v>1407246.35094686</v>
      </c>
      <c r="Z35" s="18" t="n">
        <f aca="false">Y35+Z34</f>
        <v>1501525.08747864</v>
      </c>
      <c r="AA35" s="18" t="n">
        <f aca="false">Z35+AA34</f>
        <v>1592437.20301716</v>
      </c>
      <c r="AB35" s="18" t="n">
        <f aca="false">AA35+AB34</f>
        <v>1680139.83366765</v>
      </c>
      <c r="AC35" s="18" t="n">
        <f aca="false">AB35+AC34</f>
        <v>1764782.25873006</v>
      </c>
      <c r="AD35" s="18" t="n">
        <f aca="false">AC35+AD34</f>
        <v>1846506.29353934</v>
      </c>
      <c r="AE35" s="18" t="n">
        <f aca="false">AD35+AE34</f>
        <v>1925446.66266372</v>
      </c>
      <c r="AF35" s="18" t="n">
        <f aca="false">AE35+AF34</f>
        <v>2001731.35444299</v>
      </c>
      <c r="AG35" s="18" t="n">
        <f aca="false">AF35+AG34</f>
        <v>2075481.95779996</v>
      </c>
      <c r="AH35" s="18" t="n">
        <f aca="false">AG35+AH34</f>
        <v>2146813.98221131</v>
      </c>
      <c r="AI35" s="18" t="n">
        <f aca="false">AH35+AI34</f>
        <v>2215837.16167987</v>
      </c>
      <c r="AJ35" s="18" t="n">
        <f aca="false">AI35+AJ34</f>
        <v>2282655.74350833</v>
      </c>
      <c r="AK35" s="18" t="n">
        <f aca="false">AJ35+AK34</f>
        <v>2347368.76263426</v>
      </c>
    </row>
    <row r="36" customFormat="false" ht="15" hidden="false" customHeight="false" outlineLevel="0" collapsed="false">
      <c r="A36" s="2" t="s">
        <v>163</v>
      </c>
      <c r="B36" s="18" t="n">
        <f aca="false">B26</f>
        <v>12666.6666666667</v>
      </c>
      <c r="C36" s="18" t="n">
        <f aca="false">B36+C26</f>
        <v>25333.3333333333</v>
      </c>
      <c r="D36" s="18" t="n">
        <f aca="false">C36+D26</f>
        <v>38000</v>
      </c>
      <c r="E36" s="18" t="n">
        <f aca="false">D36+E26</f>
        <v>50666.6666666667</v>
      </c>
      <c r="F36" s="18" t="n">
        <f aca="false">E36+F26</f>
        <v>63333.3333333333</v>
      </c>
      <c r="G36" s="18" t="n">
        <f aca="false">F36+G26</f>
        <v>76000</v>
      </c>
      <c r="H36" s="18" t="n">
        <f aca="false">G36+H26</f>
        <v>88666.6666666667</v>
      </c>
      <c r="I36" s="18" t="n">
        <f aca="false">H36+I26</f>
        <v>101333.333333333</v>
      </c>
      <c r="J36" s="18" t="n">
        <f aca="false">I36+J26</f>
        <v>114000</v>
      </c>
      <c r="K36" s="18" t="n">
        <f aca="false">J36+K26</f>
        <v>692929.714285714</v>
      </c>
      <c r="L36" s="18" t="n">
        <f aca="false">K36+L26</f>
        <v>1174073.21428571</v>
      </c>
      <c r="M36" s="18" t="n">
        <f aca="false">L36+M26</f>
        <v>1969969.19378307</v>
      </c>
      <c r="N36" s="18" t="n">
        <f aca="false">M36+N26</f>
        <v>2316370.14758267</v>
      </c>
      <c r="O36" s="18" t="n">
        <f aca="false">N36+O26</f>
        <v>2661036.87835896</v>
      </c>
      <c r="P36" s="18" t="n">
        <f aca="false">O36+P26</f>
        <v>3004064.4452631</v>
      </c>
      <c r="Q36" s="18" t="n">
        <f aca="false">P36+Q26</f>
        <v>3291947.97517629</v>
      </c>
      <c r="R36" s="18" t="n">
        <f aca="false">Q36+R26</f>
        <v>3576959.37463549</v>
      </c>
      <c r="S36" s="18" t="n">
        <f aca="false">R36+S26</f>
        <v>3859248.51116339</v>
      </c>
      <c r="T36" s="18" t="n">
        <f aca="false">S36+T26</f>
        <v>4138957.75890657</v>
      </c>
      <c r="U36" s="18" t="n">
        <f aca="false">T36+U26</f>
        <v>4416222.37330425</v>
      </c>
      <c r="V36" s="18" t="n">
        <f aca="false">U36+V26</f>
        <v>4691170.84702372</v>
      </c>
      <c r="W36" s="18" t="n">
        <f aca="false">V36+W26</f>
        <v>4963925.24809888</v>
      </c>
      <c r="X36" s="18" t="n">
        <f aca="false">W36+X26</f>
        <v>5234601.54116195</v>
      </c>
      <c r="Y36" s="18" t="n">
        <f aca="false">X36+Y26</f>
        <v>5503309.89261353</v>
      </c>
      <c r="Z36" s="18" t="n">
        <f aca="false">Y36+Z26</f>
        <v>5812065.0180342</v>
      </c>
      <c r="AA36" s="18" t="n">
        <f aca="false">Z36+AA26</f>
        <v>6117773.6613505</v>
      </c>
      <c r="AB36" s="18" t="n">
        <f aca="false">AA36+AB26</f>
        <v>6420592.95866765</v>
      </c>
      <c r="AC36" s="18" t="n">
        <f aca="false">AB36+AC26</f>
        <v>6720672.18928561</v>
      </c>
      <c r="AD36" s="18" t="n">
        <f aca="false">AC36+AD26</f>
        <v>7018153.16853934</v>
      </c>
      <c r="AE36" s="18" t="n">
        <f aca="false">AD36+AE26</f>
        <v>7313170.62099706</v>
      </c>
      <c r="AF36" s="18" t="n">
        <f aca="false">AE36+AF26</f>
        <v>7605852.53499855</v>
      </c>
      <c r="AG36" s="18" t="n">
        <f aca="false">AF36+AG26</f>
        <v>7896320.49946663</v>
      </c>
      <c r="AH36" s="18" t="n">
        <f aca="false">AG36+AH26</f>
        <v>8184690.02387798</v>
      </c>
      <c r="AI36" s="18" t="n">
        <f aca="false">AH36+AI26</f>
        <v>8471070.84223542</v>
      </c>
      <c r="AJ36" s="18" t="n">
        <f aca="false">AI36+AJ26</f>
        <v>8755567.20184166</v>
      </c>
      <c r="AK36" s="18" t="n">
        <f aca="false">AJ36+AK26</f>
        <v>9038278.13763426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2026-08-06T19:14:30Z</dcterms:created>
  <dc:creator>openpyxl</dc:creator>
  <dc:description/>
  <dc:language>en-US</dc:language>
  <cp:lastModifiedBy/>
  <dcterms:modified xsi:type="dcterms:W3CDTF">2026-08-06T19:14:30Z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